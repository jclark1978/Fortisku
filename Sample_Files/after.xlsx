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effclark/Desktop/"/>
    </mc:Choice>
  </mc:AlternateContent>
  <xr:revisionPtr revIDLastSave="0" documentId="8_{4FE58021-00C3-124B-824B-14EC030D42B9}" xr6:coauthVersionLast="47" xr6:coauthVersionMax="47" xr10:uidLastSave="{00000000-0000-0000-0000-000000000000}"/>
  <bookViews>
    <workbookView xWindow="4680" yWindow="600" windowWidth="33720" windowHeight="21000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I6" i="1"/>
  <c r="I4" i="1"/>
  <c r="I11" i="1"/>
  <c r="I5" i="1"/>
  <c r="I9" i="1"/>
  <c r="I7" i="1"/>
  <c r="I10" i="1"/>
  <c r="I14" i="1"/>
  <c r="I16" i="1"/>
  <c r="I12" i="1"/>
  <c r="I13" i="1"/>
  <c r="I15" i="1"/>
  <c r="I17" i="1"/>
  <c r="I8" i="1"/>
  <c r="I18" i="1"/>
  <c r="I19" i="1"/>
  <c r="I20" i="1"/>
  <c r="I21" i="1"/>
  <c r="I22" i="1"/>
  <c r="I23" i="1"/>
</calcChain>
</file>

<file path=xl/sharedStrings.xml><?xml version="1.0" encoding="utf-8"?>
<sst xmlns="http://schemas.openxmlformats.org/spreadsheetml/2006/main" count="1153" uniqueCount="596">
  <si>
    <t>Serial Number</t>
  </si>
  <si>
    <t>Product Model</t>
  </si>
  <si>
    <t>Description</t>
  </si>
  <si>
    <t>Unit Expiration Date</t>
  </si>
  <si>
    <t>Registration Date</t>
  </si>
  <si>
    <t>FG80FBTK20000844</t>
  </si>
  <si>
    <t>FortiGate-80F-Bypass</t>
  </si>
  <si>
    <t>HEMHANPCNFWHA02</t>
  </si>
  <si>
    <t>FGT60FTK21099L3K</t>
  </si>
  <si>
    <t>FortiGate-60F</t>
  </si>
  <si>
    <t>HEMMEDVWPFW01 - 20260327</t>
  </si>
  <si>
    <t>FGT60FTK21099L7Y</t>
  </si>
  <si>
    <t>HEMKENSEPFWHA02</t>
  </si>
  <si>
    <t>FGT60FTK2309ANCR</t>
  </si>
  <si>
    <t>DO NOT RENEW (per G.Schmidt) - HEWMMSEPFW01 - 20260122</t>
  </si>
  <si>
    <t>FGVMSLTM23007796</t>
  </si>
  <si>
    <t>FortiGate VM Subscription</t>
  </si>
  <si>
    <t>HEMAZUVDIFWHA01-FGT-A</t>
  </si>
  <si>
    <t>FGT60FTK21099KTC</t>
  </si>
  <si>
    <t>HEMFAISEPFWHA02</t>
  </si>
  <si>
    <t>FGT60FTK2309AHKW</t>
  </si>
  <si>
    <t>HEMASCPCNFWHA01</t>
  </si>
  <si>
    <t>S108EP5920011276</t>
  </si>
  <si>
    <t>FortiSwitch-108E-POE</t>
  </si>
  <si>
    <t>HEMMFASEPSW01</t>
  </si>
  <si>
    <t>FG80FBTK20000222</t>
  </si>
  <si>
    <t>HEWCGPCNFWHA02</t>
  </si>
  <si>
    <t>FG80FBTK20000778</t>
  </si>
  <si>
    <t>HEMMHEPCNFWHA02</t>
  </si>
  <si>
    <t>FGVMSLTM24007497</t>
  </si>
  <si>
    <t>JMHAZUSEPFWHA01</t>
  </si>
  <si>
    <t>FGT60FTK2309BKD5</t>
  </si>
  <si>
    <t>HEMKECPCNFWHA02</t>
  </si>
  <si>
    <t>FGT70FTK22014344</t>
  </si>
  <si>
    <t>FortiGate-70F</t>
  </si>
  <si>
    <t>HEMMOLSEPFWHA02</t>
  </si>
  <si>
    <t>S108FPTV21006286</t>
  </si>
  <si>
    <t>FortiSwitch-108F-POE</t>
  </si>
  <si>
    <t>HEMPADSEPSW02</t>
  </si>
  <si>
    <t>FG80FBTK20001068</t>
  </si>
  <si>
    <t>HEMRFWSEPFWHA02</t>
  </si>
  <si>
    <t>S108FPTV24000128</t>
  </si>
  <si>
    <t>HEMQFLSEPSW02</t>
  </si>
  <si>
    <t>S108FPTV21006431</t>
  </si>
  <si>
    <t>HEMMOLSEPSW01</t>
  </si>
  <si>
    <t>FGT80FTK24021745</t>
  </si>
  <si>
    <t>FortiGate-80F</t>
  </si>
  <si>
    <t>HEMSGPSEPFWHA04</t>
  </si>
  <si>
    <t>FGT80FTK24010235</t>
  </si>
  <si>
    <t>HEMMOLSEPFWHA03</t>
  </si>
  <si>
    <t>S108EP5918000743</t>
  </si>
  <si>
    <t>HEMMFASEPSW04</t>
  </si>
  <si>
    <t>FG80FBTK20000088</t>
  </si>
  <si>
    <t>HEMBREPCNFWHA01</t>
  </si>
  <si>
    <t>FGT60FTK21099KQ7</t>
  </si>
  <si>
    <t>HEWCVSEPFWHA01</t>
  </si>
  <si>
    <t>FGT60FTK21099KZM</t>
  </si>
  <si>
    <t>HEMBAUSEPFWHA02</t>
  </si>
  <si>
    <t>FGT60FTK21099KVE</t>
  </si>
  <si>
    <t>HEMBRESEPFWHA02</t>
  </si>
  <si>
    <t>FG200FT922944258</t>
  </si>
  <si>
    <t>FortiGate-200F</t>
  </si>
  <si>
    <t>JMHATLSEPFWHA02</t>
  </si>
  <si>
    <t>S108EP5920011926</t>
  </si>
  <si>
    <t>JMHPSCSEPSW01</t>
  </si>
  <si>
    <t>FGT60FTK2309AKBQ</t>
  </si>
  <si>
    <t>HEMCGAPCNFWHA01</t>
  </si>
  <si>
    <t>S108EP5920011929</t>
  </si>
  <si>
    <t>HEWCNSEPSW01</t>
  </si>
  <si>
    <t>FGT60FTK21099KU7</t>
  </si>
  <si>
    <t>HEMHANSEPFWHA01</t>
  </si>
  <si>
    <t>S108EP5920011217</t>
  </si>
  <si>
    <t>HEWEMSEPSW01</t>
  </si>
  <si>
    <t>FG80FBTK20000183</t>
  </si>
  <si>
    <t>HEWCVPCNFWHA02</t>
  </si>
  <si>
    <t>FG120GTK25013645</t>
  </si>
  <si>
    <t>FortiGate-120G</t>
  </si>
  <si>
    <t>HEWSMPCNFWHA01</t>
  </si>
  <si>
    <t>FP432GTF25000934</t>
  </si>
  <si>
    <t>FortiAP-432G</t>
  </si>
  <si>
    <t>HEMGGAE-Maint-P2P-AP01</t>
  </si>
  <si>
    <t>FGT60FTK21080282</t>
  </si>
  <si>
    <t>HEMQUISEPFWHA04 - 20260122</t>
  </si>
  <si>
    <t>FG80FBTK20000302</t>
  </si>
  <si>
    <t>HEWEMPCNFWHA01</t>
  </si>
  <si>
    <t>S224ENTF24000172</t>
  </si>
  <si>
    <t>FortiSwitch-224E</t>
  </si>
  <si>
    <t>JMHFPASEPSW01</t>
  </si>
  <si>
    <t>S108EPTQ20012427</t>
  </si>
  <si>
    <t>HEWBOSEPSW01</t>
  </si>
  <si>
    <t>FG80FBTK20001320</t>
  </si>
  <si>
    <t>HEMRFWSEPFWHA01</t>
  </si>
  <si>
    <t>S224ENTF24000030</t>
  </si>
  <si>
    <t>JMHASHSEPSW01</t>
  </si>
  <si>
    <t>FG100FTK24005491</t>
  </si>
  <si>
    <t>FortiGate-100F</t>
  </si>
  <si>
    <t>HEMBRGSEPFWHA04</t>
  </si>
  <si>
    <t>S108EP5920011377</t>
  </si>
  <si>
    <t>HEMMFASEPSW02</t>
  </si>
  <si>
    <t>FGT60FTK21099KKG</t>
  </si>
  <si>
    <t>HEMMHISEPFWHA01</t>
  </si>
  <si>
    <t>FP432GTF24001477</t>
  </si>
  <si>
    <t>HEMCORE-P2P-AP02</t>
  </si>
  <si>
    <t>S108EP5920011984</t>
  </si>
  <si>
    <t>HEWCNSEPSW02</t>
  </si>
  <si>
    <t>FGT60FTK2309AKEW</t>
  </si>
  <si>
    <t>HEMASCSEPFWHA01</t>
  </si>
  <si>
    <t>FGT60FTK2309AK6M</t>
  </si>
  <si>
    <t>HEMASCSEPFWHA02</t>
  </si>
  <si>
    <t>FGT60FTK2309BGGS</t>
  </si>
  <si>
    <t>HEMKECPCNFWHA01</t>
  </si>
  <si>
    <t>S108EP5920012008</t>
  </si>
  <si>
    <t>HEWCVSEPSW01</t>
  </si>
  <si>
    <t>FGT60FTK2209CFBS</t>
  </si>
  <si>
    <t>HEMSPBSEPFWHA01</t>
  </si>
  <si>
    <t>S108EPTQ20012324</t>
  </si>
  <si>
    <t>HEMMHISEPSW01</t>
  </si>
  <si>
    <t>FGT80FTK24021373</t>
  </si>
  <si>
    <t>HEMMEDSEPFWHA03</t>
  </si>
  <si>
    <t>FGVMSLTM25007131</t>
  </si>
  <si>
    <t>JMHZ34SEPFWHA02</t>
  </si>
  <si>
    <t>FG80FBTK20001055</t>
  </si>
  <si>
    <t>HEMBAUPCNFWHA02</t>
  </si>
  <si>
    <t>FGT60FTK21099L21</t>
  </si>
  <si>
    <t>HEMMHISEPFWHA02</t>
  </si>
  <si>
    <t>FGT60FTK21099L96</t>
  </si>
  <si>
    <t>HEWCGSEPFWHA01</t>
  </si>
  <si>
    <t>S224ENTF23005270</t>
  </si>
  <si>
    <t>HEMBRGSEPSW03</t>
  </si>
  <si>
    <t>FAZVMSTM24000691</t>
  </si>
  <si>
    <t>FortiAnalyzer VM S-Series</t>
  </si>
  <si>
    <t>FortiAnalyzer</t>
  </si>
  <si>
    <t>No coverage</t>
  </si>
  <si>
    <t>FG200FT922944271</t>
  </si>
  <si>
    <t>JMHASHSEPFWHA02</t>
  </si>
  <si>
    <t>S108FNTV24008574</t>
  </si>
  <si>
    <t>FortiSwitch-108F</t>
  </si>
  <si>
    <t>HEMCORSEPSW01</t>
  </si>
  <si>
    <t>FGT60FTK23099ZKW</t>
  </si>
  <si>
    <t>HEMCORSEPFWHA02</t>
  </si>
  <si>
    <t>S108FNTV21001749</t>
  </si>
  <si>
    <t>HEMRIFSEPSW02</t>
  </si>
  <si>
    <t>FG80FBTK20000394</t>
  </si>
  <si>
    <t>HEMBRGPCNFWHA02</t>
  </si>
  <si>
    <t>S224ENTF24000017</t>
  </si>
  <si>
    <t>JMHASHSEPSW02</t>
  </si>
  <si>
    <t>FGT70FTK22019837</t>
  </si>
  <si>
    <t>HEMARZSEPFWHA01</t>
  </si>
  <si>
    <t>FGVMSLTM23007795</t>
  </si>
  <si>
    <t>HEMAZUVDIFWHA01-FGT-B</t>
  </si>
  <si>
    <t>FGT60FTK2309AC5X</t>
  </si>
  <si>
    <t>DO NOT RENEW - HEMGGASEPFWHA03 - 20260122</t>
  </si>
  <si>
    <t>FG80FBTK20001258</t>
  </si>
  <si>
    <t>HEMKENPCNFWHA02</t>
  </si>
  <si>
    <t>S108EPTQ20012618</t>
  </si>
  <si>
    <t>HEMQUISEPSW01</t>
  </si>
  <si>
    <t>FGT60FTK2309BKGG</t>
  </si>
  <si>
    <t>HEMKECSEPFWHA01</t>
  </si>
  <si>
    <t>FGT60FTK21065163</t>
  </si>
  <si>
    <t>Quincy - 60F</t>
  </si>
  <si>
    <t>S224ENTF24000022</t>
  </si>
  <si>
    <t>JMHFPASEPSW02</t>
  </si>
  <si>
    <t>S108EPTQ20012363</t>
  </si>
  <si>
    <t>HEMMHESEPSW01</t>
  </si>
  <si>
    <t>FGT60FTK2209DTES</t>
  </si>
  <si>
    <t>HEMSHASEPFW01</t>
  </si>
  <si>
    <t>FGVMSLTM24007498</t>
  </si>
  <si>
    <t>JMHAZUSEPFWHA02</t>
  </si>
  <si>
    <t>FG80FBTK20000211</t>
  </si>
  <si>
    <t>HEWCVPCNFWHA01</t>
  </si>
  <si>
    <t>FG120GTK25014325</t>
  </si>
  <si>
    <t>HEWSMPCNFWHA02</t>
  </si>
  <si>
    <t>FP432GTF24001520</t>
  </si>
  <si>
    <t>HEMCORE-P2P-AP01</t>
  </si>
  <si>
    <t>FG80FBTK20000086</t>
  </si>
  <si>
    <t>HEMBREPCNFWHA02</t>
  </si>
  <si>
    <t>S108FPTV21011547</t>
  </si>
  <si>
    <t>HEMMEDSEPSW02</t>
  </si>
  <si>
    <t>FG100FTK21007560</t>
  </si>
  <si>
    <t>HEWCNSEPFWHA02</t>
  </si>
  <si>
    <t>FGT70FTK22027899</t>
  </si>
  <si>
    <t>HEMPADSEPFWHA01</t>
  </si>
  <si>
    <t>S108FNTV21002270</t>
  </si>
  <si>
    <t/>
  </si>
  <si>
    <t>FGT60FTK21099KQ4</t>
  </si>
  <si>
    <t>HEMMHESEPFWHA02</t>
  </si>
  <si>
    <t>FGT60FTK2309ACKT</t>
  </si>
  <si>
    <t>HEMQFLSEPFWHA02</t>
  </si>
  <si>
    <t>S108FPTV24000234</t>
  </si>
  <si>
    <t>HEMASCSEPSW01</t>
  </si>
  <si>
    <t>FG80FBTK20001047</t>
  </si>
  <si>
    <t>HEMHANPCNFWHA01</t>
  </si>
  <si>
    <t>FG80FBTK20000874</t>
  </si>
  <si>
    <t>HEMMHEPCNFWHA01</t>
  </si>
  <si>
    <t>S108EP5920011937</t>
  </si>
  <si>
    <t>HEWCVSEPSW02</t>
  </si>
  <si>
    <t>S108EP5920011954</t>
  </si>
  <si>
    <t>HEMLMISEPSW02</t>
  </si>
  <si>
    <t>FG80FBTK20000512</t>
  </si>
  <si>
    <t>HEMBRGPCNFWHA01</t>
  </si>
  <si>
    <t>FGT60FTK2309AAYP</t>
  </si>
  <si>
    <t>HEMQFLPCNFWHA02</t>
  </si>
  <si>
    <t>S108EPTQ20012457</t>
  </si>
  <si>
    <t>HEWBOSEPSW02</t>
  </si>
  <si>
    <t>FG200FT922944161</t>
  </si>
  <si>
    <t>JMHASHSEPFWHA01</t>
  </si>
  <si>
    <t>FGT60FTK2309AH9Y</t>
  </si>
  <si>
    <t>HEMGGAPCNFWHA01</t>
  </si>
  <si>
    <t>S108EP5920011259</t>
  </si>
  <si>
    <t>JMHPSCSEPSW02</t>
  </si>
  <si>
    <t>S108EPTQ20012908</t>
  </si>
  <si>
    <t>HEWCGSEPSW01</t>
  </si>
  <si>
    <t>S108EPTQ20012420</t>
  </si>
  <si>
    <t>JMHEDISEPSW01</t>
  </si>
  <si>
    <t>FG200FT922951995</t>
  </si>
  <si>
    <t>JMHFPASEPFWHA01</t>
  </si>
  <si>
    <t>FGT60FTK21099KR7</t>
  </si>
  <si>
    <t>HEWBOSEPFWHA02</t>
  </si>
  <si>
    <t>FGT60FTK21099L90</t>
  </si>
  <si>
    <t>Replace with FEX - HEMQUISEPFWHA01 - 20260122</t>
  </si>
  <si>
    <t>FGT60FTK2309AGED</t>
  </si>
  <si>
    <t>HEWSMSEPFWHA01</t>
  </si>
  <si>
    <t>S108EP5920011231</t>
  </si>
  <si>
    <t>HEMBAUSEPSW01</t>
  </si>
  <si>
    <t>FGT60FTK2309ACVF</t>
  </si>
  <si>
    <t>HEMQFLSEPFWHA01</t>
  </si>
  <si>
    <t>FG80FBTK20000217</t>
  </si>
  <si>
    <t>HEWBOPCNFWHA02</t>
  </si>
  <si>
    <t>FGT60FTK21099L4E</t>
  </si>
  <si>
    <t>Replace with FEX - HEMMFASEPFWHA02 - 20260122</t>
  </si>
  <si>
    <t>S108FPTV24000019</t>
  </si>
  <si>
    <t>HEMGGASEPSW02</t>
  </si>
  <si>
    <t>FP432GTF25000940</t>
  </si>
  <si>
    <t>HEMGGAE-Maint-P2P-AP02</t>
  </si>
  <si>
    <t>S108EP5920012148</t>
  </si>
  <si>
    <t>HEWSTSEPSW02</t>
  </si>
  <si>
    <t>S108FPTV21004067</t>
  </si>
  <si>
    <t>HEMPADSEPSW01</t>
  </si>
  <si>
    <t>S108EPTQ20012904</t>
  </si>
  <si>
    <t>HEWCGSEPSW02</t>
  </si>
  <si>
    <t>FG100E4Q17011731</t>
  </si>
  <si>
    <t>FortiGate-100E</t>
  </si>
  <si>
    <t>Data Center 100E</t>
  </si>
  <si>
    <t>FG80FBTK20001296</t>
  </si>
  <si>
    <t>HEMKENPCNFWHA01</t>
  </si>
  <si>
    <t>S108EP5920011275</t>
  </si>
  <si>
    <t>HEWEMSEPSW02</t>
  </si>
  <si>
    <t>FG80FBTK20000163</t>
  </si>
  <si>
    <t>HEMRIFPCNFWHA02</t>
  </si>
  <si>
    <t>FGT60FTK21099KJA</t>
  </si>
  <si>
    <t>HEMMFASEPFWHA04</t>
  </si>
  <si>
    <t>FGT60FTK2309AG9R</t>
  </si>
  <si>
    <t>HEMTTWSEPFW01</t>
  </si>
  <si>
    <t>FG80FBTK20000745</t>
  </si>
  <si>
    <t>HEMBAUPCNFWHA01</t>
  </si>
  <si>
    <t>S108FNTV23022845</t>
  </si>
  <si>
    <t>HEMCORSEPSW02</t>
  </si>
  <si>
    <t>FG200FT922951993</t>
  </si>
  <si>
    <t>JMHFPASEPFWHA02</t>
  </si>
  <si>
    <t>FGT60FTK23075654</t>
  </si>
  <si>
    <t>HEMBOGSEPFWHA01</t>
  </si>
  <si>
    <t>S108FPTV24000149</t>
  </si>
  <si>
    <t>HEMCGASEPSW01</t>
  </si>
  <si>
    <t>FGT80FTK24008556</t>
  </si>
  <si>
    <t>HEMARZSEPFWHA03</t>
  </si>
  <si>
    <t>FGT60FTK21099KKF</t>
  </si>
  <si>
    <t>HEMHANSEPFWHA02</t>
  </si>
  <si>
    <t>FGT60FTK21099KTM</t>
  </si>
  <si>
    <t>HEMFAISEPFWHA01</t>
  </si>
  <si>
    <t>FGT60FTK21099KTV</t>
  </si>
  <si>
    <t>TIMOLDSEPFWHA02</t>
  </si>
  <si>
    <t>FGT70FTK22074415</t>
  </si>
  <si>
    <t>HEMMOLPCNFWHA01 - 20260122</t>
  </si>
  <si>
    <t>S108FNTV21001753</t>
  </si>
  <si>
    <t>HEMRFWSEPSW01</t>
  </si>
  <si>
    <t>FP23JFTF23025366</t>
  </si>
  <si>
    <t>FortiAP-23JF</t>
  </si>
  <si>
    <t>JMHUSAFAP-Eval</t>
  </si>
  <si>
    <t>FG80FBTK20001370</t>
  </si>
  <si>
    <t>HEMFAIPCNFWHA02</t>
  </si>
  <si>
    <t>S108FPTV21005593</t>
  </si>
  <si>
    <t>HEMSGPSEPSW02</t>
  </si>
  <si>
    <t>FG80FBTK20000841</t>
  </si>
  <si>
    <t>DO NOT RENEW - TEMP HEWSMSEPFWHA02 - 20260202</t>
  </si>
  <si>
    <t>FGT60FTK2309AFE1</t>
  </si>
  <si>
    <t>HEMASCPCNFWHA02</t>
  </si>
  <si>
    <t>FGT80FTK24009144</t>
  </si>
  <si>
    <t>HEMARZSEPFWHA04</t>
  </si>
  <si>
    <t>S108FPTV24000278</t>
  </si>
  <si>
    <t>HEMQFLSEPSW01</t>
  </si>
  <si>
    <t>FG80FBTK20001406</t>
  </si>
  <si>
    <t>HEMQUIPCNFWHA01</t>
  </si>
  <si>
    <t>S108FPTV21005775</t>
  </si>
  <si>
    <t>HEMARZSEPSW01</t>
  </si>
  <si>
    <t>FG80FBTK20000318</t>
  </si>
  <si>
    <t>HEMLMIPCNFWHA02</t>
  </si>
  <si>
    <t>FGT70FTK22029931</t>
  </si>
  <si>
    <t>HEMPADSEPFWHA02</t>
  </si>
  <si>
    <t>FP432GTF24005960</t>
  </si>
  <si>
    <t>HEMGGAE-Training-P2P-AP01</t>
  </si>
  <si>
    <t>S108EPTQ20012524</t>
  </si>
  <si>
    <t>TIMOLDSEPSW01</t>
  </si>
  <si>
    <t>FGT60FTK21099L6H</t>
  </si>
  <si>
    <t>HEMMFASEPFWHA03</t>
  </si>
  <si>
    <t>FG80FBTK20001297</t>
  </si>
  <si>
    <t>HEMRIFSEPFWHA02</t>
  </si>
  <si>
    <t>S108EPTQ20012751</t>
  </si>
  <si>
    <t>HEMQIOSEPSW02</t>
  </si>
  <si>
    <t>FGT60FTK2309AC8H</t>
  </si>
  <si>
    <t>HEMCGASEPFWHA01</t>
  </si>
  <si>
    <t>FGT60FTK2309AD0R</t>
  </si>
  <si>
    <t>HEMGGAPCNFWHA02</t>
  </si>
  <si>
    <t>FX200FTQ21002784</t>
  </si>
  <si>
    <t>FortiExtender-200F</t>
  </si>
  <si>
    <t>JMHUSFEX-Eval</t>
  </si>
  <si>
    <t>FGT60FTK21099LAP</t>
  </si>
  <si>
    <t>JMHDUBSEPFWHA01</t>
  </si>
  <si>
    <t>S108EP5920012041</t>
  </si>
  <si>
    <t>HEMKENSEPSW01</t>
  </si>
  <si>
    <t>FG80FBTK20000971</t>
  </si>
  <si>
    <t>HEMRIFPCNFWHA01</t>
  </si>
  <si>
    <t>FGT60FTK21099KVT</t>
  </si>
  <si>
    <t>HEMQIOSEPFWHA02</t>
  </si>
  <si>
    <t>FG80FBTK20001270</t>
  </si>
  <si>
    <t>HEMMHIPCNFWHA02</t>
  </si>
  <si>
    <t>S108EP5920011320</t>
  </si>
  <si>
    <t>HEMBRGSEPSW01</t>
  </si>
  <si>
    <t>S108FPTV23014703</t>
  </si>
  <si>
    <t>HEMASCSEPSW02</t>
  </si>
  <si>
    <t>FGT60FTK2309BJM9</t>
  </si>
  <si>
    <t>HEMKECSEPFWHA02</t>
  </si>
  <si>
    <t>FGT60FTK2309AGSG</t>
  </si>
  <si>
    <t>HEMHTXSEPFW02</t>
  </si>
  <si>
    <t>FGT60FTK21099KZK</t>
  </si>
  <si>
    <t>Possible RMA - HEMQUISEPFWHA04 - 20260122</t>
  </si>
  <si>
    <t>S108FNTV21002027</t>
  </si>
  <si>
    <t>S108FPTV24000140</t>
  </si>
  <si>
    <t>HEMQUIPCNSW02</t>
  </si>
  <si>
    <t>S108EP5920011983</t>
  </si>
  <si>
    <t>HEMFAISEPSW01</t>
  </si>
  <si>
    <t>S108EPTQ20012428</t>
  </si>
  <si>
    <t>JMHDUBSEPSW02</t>
  </si>
  <si>
    <t>FGVMSLTM25009940</t>
  </si>
  <si>
    <t>JMHOCISEPFWHA01</t>
  </si>
  <si>
    <t>S108EP5920011237</t>
  </si>
  <si>
    <t>HEMMHESEPSW02</t>
  </si>
  <si>
    <t>FGT70FTK22067324</t>
  </si>
  <si>
    <t>HEMMOLPCNFWHA02 - 20260122</t>
  </si>
  <si>
    <t>FG80FBTK20000854</t>
  </si>
  <si>
    <t>HEMRIFSEPFWHA01</t>
  </si>
  <si>
    <t>FGT60FTK2309AKEV</t>
  </si>
  <si>
    <t>DO NOT RENEW - HEMGGASEPFWHA04 - 20260122</t>
  </si>
  <si>
    <t>FGT60FTK2309AFL0</t>
  </si>
  <si>
    <t>HEMGGASEPFWHA02</t>
  </si>
  <si>
    <t>S108EP5920011974</t>
  </si>
  <si>
    <t>HEMHANSEPSW02</t>
  </si>
  <si>
    <t>FGT70FTK22072283</t>
  </si>
  <si>
    <t>HEMMEDSEPFWHA01</t>
  </si>
  <si>
    <t>FGT60FTK21099KP8</t>
  </si>
  <si>
    <t>HEWEMSEPFWHA02</t>
  </si>
  <si>
    <t>FGT60FTK2309AKXG</t>
  </si>
  <si>
    <t>Need to confirm HEMVBCSEPFW02 - 20260122</t>
  </si>
  <si>
    <t>FGT60FTK2309ALRC</t>
  </si>
  <si>
    <t>HEMGGASEPFWHA01</t>
  </si>
  <si>
    <t>S108EPTQ20012541</t>
  </si>
  <si>
    <t>HEMQUISEPSW02</t>
  </si>
  <si>
    <t>S108EP5920011962</t>
  </si>
  <si>
    <t>HEMFAISEPSW02</t>
  </si>
  <si>
    <t>FGVMSLTM25007130</t>
  </si>
  <si>
    <t>JMHZ34SEPFWHA01</t>
  </si>
  <si>
    <t>S108FNTV21002179</t>
  </si>
  <si>
    <t>FGT60FTK21099KL3</t>
  </si>
  <si>
    <t>HEMBRESEPFWHA01</t>
  </si>
  <si>
    <t>FGT60FTK21099L5M</t>
  </si>
  <si>
    <t>HEMMHESEPFWHA01</t>
  </si>
  <si>
    <t>FP432GTF24008358</t>
  </si>
  <si>
    <t>HEMRFWE-P2P-AP01</t>
  </si>
  <si>
    <t>S108EP5920012059</t>
  </si>
  <si>
    <t>TIMOLDSEPSW02</t>
  </si>
  <si>
    <t>S108FPTV21004131</t>
  </si>
  <si>
    <t>HEMSGPSEPSW01</t>
  </si>
  <si>
    <t>FG80FBTK20001138</t>
  </si>
  <si>
    <t>DO NOT RENEW - TEMP HEWSMSEPFWHA01 - 20260202</t>
  </si>
  <si>
    <t>S108EP5918000394</t>
  </si>
  <si>
    <t>HEMHANSEPSW01</t>
  </si>
  <si>
    <t>S108FPTV24000216</t>
  </si>
  <si>
    <t>HEMCGASEPSW02</t>
  </si>
  <si>
    <t>FGT60FTK21099KK6</t>
  </si>
  <si>
    <t>Replace with FEX - HEMQUISEPFWHA02 - 20260122</t>
  </si>
  <si>
    <t>FGT60FTK21099KQX</t>
  </si>
  <si>
    <t>HEWCGSEPFWHA02</t>
  </si>
  <si>
    <t>FGT60FTK2309AKB8</t>
  </si>
  <si>
    <t>DO NOT RENEW - Formerly HEMMGASEPFW01 - 20260122</t>
  </si>
  <si>
    <t>S108FNTV21002280</t>
  </si>
  <si>
    <t>HEMRIFSEPSW01</t>
  </si>
  <si>
    <t>FGT70FTK22012357</t>
  </si>
  <si>
    <t>HEMSGPSEPFWHA02</t>
  </si>
  <si>
    <t>FG80FBTK20000233</t>
  </si>
  <si>
    <t>HEWSTPCNFWHA02</t>
  </si>
  <si>
    <t>FGT60FTK22099PWE</t>
  </si>
  <si>
    <t>HEMTTWSEPFW02</t>
  </si>
  <si>
    <t>FXA21FS222006518</t>
  </si>
  <si>
    <t>FortiExtender-201F-AM</t>
  </si>
  <si>
    <t>HP Testing</t>
  </si>
  <si>
    <t>FGT60FTK22099N9Q</t>
  </si>
  <si>
    <t>HEMHAGSEPFW01</t>
  </si>
  <si>
    <t>FG80FBTK20001113</t>
  </si>
  <si>
    <t>HEMQUIPCNFWHA02</t>
  </si>
  <si>
    <t>FG100FTK21009074</t>
  </si>
  <si>
    <t>HEWCNSEPFWHA01</t>
  </si>
  <si>
    <t>S108FNTV21001759</t>
  </si>
  <si>
    <t>HEMRFWSEPSW02</t>
  </si>
  <si>
    <t>FGT60FTK2309AC5M</t>
  </si>
  <si>
    <t>DO NOT RENEW - HEMHTXSEPFW01 - 20260126</t>
  </si>
  <si>
    <t>FG200FT922944250</t>
  </si>
  <si>
    <t>JMHATLSEPFWHA01</t>
  </si>
  <si>
    <t>FGT80FTK24009025</t>
  </si>
  <si>
    <t>HEMPADSEPFWHA04</t>
  </si>
  <si>
    <t>FGT60FTK21099KSY</t>
  </si>
  <si>
    <t>Formerly HEMBRGSEPFWHA01 - 20260122</t>
  </si>
  <si>
    <t>S108FPTV24000014</t>
  </si>
  <si>
    <t>DO NOT RENEW - TEMP HEWSMSEPSW01 - 20260202</t>
  </si>
  <si>
    <t>S108EPTQ20012348</t>
  </si>
  <si>
    <t>HEMMHISEPSW02</t>
  </si>
  <si>
    <t>FGT70FTK22067588</t>
  </si>
  <si>
    <t>HEMMEDSEPFWHA02</t>
  </si>
  <si>
    <t>S108FPTV21006382</t>
  </si>
  <si>
    <t>HEMARZSEPSW02</t>
  </si>
  <si>
    <t>S108FPTV24000311</t>
  </si>
  <si>
    <t>HEMQUIPCNSW01</t>
  </si>
  <si>
    <t>FGT60FTK2309AD0M</t>
  </si>
  <si>
    <t>HEMQFLPCNFWHA01</t>
  </si>
  <si>
    <t>S108FNTV21001916</t>
  </si>
  <si>
    <t>HEMRFWSEPSW03</t>
  </si>
  <si>
    <t>S108EPTQ20012413</t>
  </si>
  <si>
    <t>HEMQIOSEPSW01</t>
  </si>
  <si>
    <t>FGT60FTK21079671</t>
  </si>
  <si>
    <t>HEMEGASEPFW02</t>
  </si>
  <si>
    <t>FGT60FTK21099KQE</t>
  </si>
  <si>
    <t>HEWBOSEPFWHA01</t>
  </si>
  <si>
    <t>FGT60FTK21099KW4</t>
  </si>
  <si>
    <t>HEWCVSEPFWHA02</t>
  </si>
  <si>
    <t>FG80FBTK20001075</t>
  </si>
  <si>
    <t>HEMMFAPCNFWHA01</t>
  </si>
  <si>
    <t>S224ENTF23005133</t>
  </si>
  <si>
    <t>HEMBRGSEPSW04</t>
  </si>
  <si>
    <t>S108EP5920011999</t>
  </si>
  <si>
    <t>HEMBAUSEPSW02</t>
  </si>
  <si>
    <t>FGT60FTK2209JV2J</t>
  </si>
  <si>
    <t>HEMQOCSEPFW02</t>
  </si>
  <si>
    <t>FG100FTK21007562</t>
  </si>
  <si>
    <t>JMHPSCSEPFWHA01</t>
  </si>
  <si>
    <t>FGT80FTK24007733</t>
  </si>
  <si>
    <t>HEMMOLSEPFWHA04</t>
  </si>
  <si>
    <t>S108FPTV24000229</t>
  </si>
  <si>
    <t>DO NOT RENEW - TEMP HEWSMSEPSW02 - 20260202</t>
  </si>
  <si>
    <t>FGT60FTK2309AK6Q</t>
  </si>
  <si>
    <t>HEMCGAPCNFWHA02</t>
  </si>
  <si>
    <t>FG80FBTK20000809</t>
  </si>
  <si>
    <t>HEMLMIPCNFWHA01</t>
  </si>
  <si>
    <t>S108EP5920011301</t>
  </si>
  <si>
    <t>HEMQUISEPSW04</t>
  </si>
  <si>
    <t>FGT60FTK21099KN0</t>
  </si>
  <si>
    <t>JMHDUBSEPFWHA02</t>
  </si>
  <si>
    <t>FG80FBTK20000295</t>
  </si>
  <si>
    <t>HEWCGPCNFWHA01</t>
  </si>
  <si>
    <t>S108FPTV21011593</t>
  </si>
  <si>
    <t>HEMMEDSEPSW01</t>
  </si>
  <si>
    <t>FG80FBTK20001317</t>
  </si>
  <si>
    <t>HEMMHIPCNFWHA01</t>
  </si>
  <si>
    <t>S108EP5918008061</t>
  </si>
  <si>
    <t>HEMMFASEPSW03</t>
  </si>
  <si>
    <t>FGT60FTK21099L6Y</t>
  </si>
  <si>
    <t>HEMBAUSEPFWHA01</t>
  </si>
  <si>
    <t>FG80FBTK20000151</t>
  </si>
  <si>
    <t>HEWBOPCNFWHA01</t>
  </si>
  <si>
    <t>FGT60FTK21099KPY</t>
  </si>
  <si>
    <t>HEWSTSEPFWHA02</t>
  </si>
  <si>
    <t>FP432GTF24008351</t>
  </si>
  <si>
    <t>HEMRFWE-P2P-AP02</t>
  </si>
  <si>
    <t>FG80FBTK20000275</t>
  </si>
  <si>
    <t>HEWSTPCNFWHA01</t>
  </si>
  <si>
    <t>FGT60FTK2309ABWF</t>
  </si>
  <si>
    <t>HEMVCASEPFW01</t>
  </si>
  <si>
    <t>FGT70FTK22012589</t>
  </si>
  <si>
    <t>HEMSGPSEPFWHA01</t>
  </si>
  <si>
    <t>FGT60FTK21099KSC</t>
  </si>
  <si>
    <t>TIMOLDSEPFWHA01</t>
  </si>
  <si>
    <t>FG80FBTK20001272</t>
  </si>
  <si>
    <t>HEMFAIPCNFWHA01</t>
  </si>
  <si>
    <t>FGT60FTK21099KJW</t>
  </si>
  <si>
    <t>HEMKENSEPFWHA01</t>
  </si>
  <si>
    <t>S108FPTV24002195</t>
  </si>
  <si>
    <t>HEMKECSEPSW02</t>
  </si>
  <si>
    <t>FGT70FTK22007781</t>
  </si>
  <si>
    <t>HEMARZSEPFWHA02</t>
  </si>
  <si>
    <t>FGT60FTK21099KY7</t>
  </si>
  <si>
    <t>Replace with FEX - HEMMFASEPFWHA01 - 20260122</t>
  </si>
  <si>
    <t>S108FPTV24001963</t>
  </si>
  <si>
    <t>HEMKECSEPSW01</t>
  </si>
  <si>
    <t>FGT80FTK24022061</t>
  </si>
  <si>
    <t>HEMSGPSEPFWHA03</t>
  </si>
  <si>
    <t>S108FPTV21006325</t>
  </si>
  <si>
    <t>HEMMOLSEPSW02</t>
  </si>
  <si>
    <t>FG100FTK24005044</t>
  </si>
  <si>
    <t>HEMBRGSEPFWHA03</t>
  </si>
  <si>
    <t>FGVMSLTM25009941</t>
  </si>
  <si>
    <t>JMHOCISEPFWHA02</t>
  </si>
  <si>
    <t>S108FPTV24000291</t>
  </si>
  <si>
    <t>HEMGGASEPSW01</t>
  </si>
  <si>
    <t>FGT60FTK21099KK9</t>
  </si>
  <si>
    <t>HEMQUISEPFWHA03</t>
  </si>
  <si>
    <t>FGT60FTK24037735</t>
  </si>
  <si>
    <t>HEMCNQSEPFW01</t>
  </si>
  <si>
    <t>FGT60FTK21060045</t>
  </si>
  <si>
    <t>HEMCORSEPFWHA01</t>
  </si>
  <si>
    <t>S108FNTV21001597</t>
  </si>
  <si>
    <t>HEMBRESEPSW02</t>
  </si>
  <si>
    <t>S108EP5920012056</t>
  </si>
  <si>
    <t>HEMBRGSEPSW02</t>
  </si>
  <si>
    <t>FGT80FTK24021551</t>
  </si>
  <si>
    <t>HEMMEDSEPFWHA04</t>
  </si>
  <si>
    <t>S108EP5920012133</t>
  </si>
  <si>
    <t>HEWSTSEPSW01</t>
  </si>
  <si>
    <t>S108EP5920011939</t>
  </si>
  <si>
    <t>HEMKENSEPSW02</t>
  </si>
  <si>
    <t>FXN51GS224002430</t>
  </si>
  <si>
    <t>FortiExtender-511G</t>
  </si>
  <si>
    <t>Test FEX</t>
  </si>
  <si>
    <t>S108EPTQ20012416</t>
  </si>
  <si>
    <t>HEMLMISEPSW01</t>
  </si>
  <si>
    <t>S108EP5920011380</t>
  </si>
  <si>
    <t>HEMQUISEPSW03</t>
  </si>
  <si>
    <t>SM24GNS225000655</t>
  </si>
  <si>
    <t>FortiSwitch-124G</t>
  </si>
  <si>
    <t>HEMLMIE-PCN-SW01</t>
  </si>
  <si>
    <t>S108FNTV21001868</t>
  </si>
  <si>
    <t>HEMRFWSEPSW04</t>
  </si>
  <si>
    <t>FGT60FTK21099KJD</t>
  </si>
  <si>
    <t>HEMQIOSEPFWHA01</t>
  </si>
  <si>
    <t>S108FNTV21001591</t>
  </si>
  <si>
    <t>HEMBRESEPSW01</t>
  </si>
  <si>
    <t>FG80FBTK20000150</t>
  </si>
  <si>
    <t>HEWEMPCNFWHA02</t>
  </si>
  <si>
    <t>FGT60FTK21080095</t>
  </si>
  <si>
    <t>HEMLMISEPFWHA02</t>
  </si>
  <si>
    <t>FG80FBTK20001015</t>
  </si>
  <si>
    <t>HEMMFAPCNFWHA02</t>
  </si>
  <si>
    <t>FGT80FTK24008926</t>
  </si>
  <si>
    <t>HEMPADSEPFWHA03</t>
  </si>
  <si>
    <t>FGT60FTK25037256</t>
  </si>
  <si>
    <t>HEMSHNSEPFW01</t>
  </si>
  <si>
    <t>S108EP5920012108</t>
  </si>
  <si>
    <t>JMHEDISEPSW02</t>
  </si>
  <si>
    <t>FGT70FTK22008329</t>
  </si>
  <si>
    <t>HEMMOLSEPFWHA01</t>
  </si>
  <si>
    <t>S108EPTQ20012449</t>
  </si>
  <si>
    <t>JMHDUBSEPSW01</t>
  </si>
  <si>
    <t>S224ENTF24000118</t>
  </si>
  <si>
    <t>JMHATLSEPSW02</t>
  </si>
  <si>
    <t>FGT60FTK2309ALK8</t>
  </si>
  <si>
    <t>HEMMGASEPFW02</t>
  </si>
  <si>
    <t>FGT60FTK21099KZS</t>
  </si>
  <si>
    <t>HEWSTSEPFWHA01</t>
  </si>
  <si>
    <t>FG100FTK21007300</t>
  </si>
  <si>
    <t>JMHPSCSEPFWHA02</t>
  </si>
  <si>
    <t>FGT60FTK21099KP4</t>
  </si>
  <si>
    <t>HEWEMSEPFWHA01</t>
  </si>
  <si>
    <t>FGT60FTK21079934</t>
  </si>
  <si>
    <t>HEMLMISEPFWHA01</t>
  </si>
  <si>
    <t>S224ENTF23006595</t>
  </si>
  <si>
    <t>JMHATLSEPSW01</t>
  </si>
  <si>
    <t>FP432GTF24005902</t>
  </si>
  <si>
    <t>HEMGGAE-Training-P2P-AP02</t>
  </si>
  <si>
    <t>FGT60FTK2309AC7Q</t>
  </si>
  <si>
    <t>HEMCGASEPFWHA02</t>
  </si>
  <si>
    <t>Count</t>
  </si>
  <si>
    <t>Quarter</t>
  </si>
  <si>
    <t>Q2 2025</t>
  </si>
  <si>
    <t>Q3 2025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</si>
  <si>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</si>
  <si>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</si>
  <si>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</si>
  <si>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</si>
  <si>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</si>
  <si>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</si>
  <si>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</si>
  <si>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</si>
  <si>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</si>
  <si>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</si>
  <si>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</si>
  <si>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</si>
  <si>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</si>
  <si>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Asset Report</t>
  </si>
  <si>
    <t>Asset Count</t>
  </si>
  <si>
    <t>Renewal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</si>
</sst>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rgb="FFFFFFFF"/>
      <name val="Calibri"/>
      <family val="2"/>
    </font>
    <font>
      <b/>
      <sz val="18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366092"/>
        <bgColor indexed="64"/>
      </patternFill>
    </fill>
    <fill>
      <patternFill patternType="solid">
        <fgColor rgb="FF9BBB5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FFFFFF"/>
      </bottom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Fill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Fill="1" applyBorder="1"/>
    <xf numFmtId="0" fontId="0" fillId="0" borderId="0" xfId="0" applyFont="1" applyFill="1" applyBorder="1"/>
    <xf numFmtId="0" fontId="0" fillId="0" borderId="0" xfId="0" applyFill="1" applyBorder="1" applyAlignment="1">
      <alignment horizontal="center"/>
    </xf>
  </cellXfs>
  <cellStyles count="2">
    <cellStyle name="Accent2" xfId="1" builtinId="33"/>
    <cellStyle name="Normal" xfId="0" builtinId="0"/>
  </cellStyles>
  <dxfs count="26"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solid">
          <fgColor rgb="FFFFC7CE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m/d/yy"/>
    </dxf>
    <dxf>
      <border outline="0">
        <left style="thin">
          <color theme="0"/>
        </left>
      </border>
    </dxf>
    <dxf>
      <numFmt numFmtId="19" formatCode="m/d/yy"/>
    </dxf>
    <dxf>
      <numFmt numFmtId="19" formatCode="m/d/yy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B131CF-DCD7-7745-93C4-5124B96AA4D3}" name="Table1" displayName="Table1" ref="A3:F279" totalsRowShown="0">
  <autoFilter ref="A3:F279" xr:uid="{A0B131CF-DCD7-7745-93C4-5124B96AA4D3}"/>
  <sortState xmlns:xlrd2="http://schemas.microsoft.com/office/spreadsheetml/2017/richdata2" ref="A4:F279">
    <sortCondition sortBy="cellColor" ref="D3:D279" dxfId="20"/>
  </sortState>
  <tableColumns count="6">
    <tableColumn id="1" xr3:uid="{A1976DF3-0C8E-5142-8148-3B8721882AF0}" name="Serial Number"/>
    <tableColumn id="2" xr3:uid="{443BE5B7-8BCC-1B44-872C-89B4EDB3038F}" name="Product Model"/>
    <tableColumn id="3" xr3:uid="{EFD90CF2-00E8-344D-A904-9146D574EF60}" name="Description"/>
    <tableColumn id="4" xr3:uid="{9B5F778B-5EA1-C848-B4E6-463E63EE830C}" name="Unit Expiration Date" dataDxfId="25"/>
    <tableColumn id="6" xr3:uid="{1F761622-C6C0-6040-9586-56FCD611CDD6}" name="Quarter" dataDxfId="22"/>
    <tableColumn id="5" xr3:uid="{6DFCA15D-9456-6147-B540-9740FD7E643D}" name="Registration Date" dataDxfId="2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3521DB-ACF9-5941-83FF-3A73061C29CF}" name="Table2" displayName="Table2" ref="H3:I23" totalsRowShown="0" headerRowDxfId="3" dataDxfId="2" tableBorderDxfId="23">
  <autoFilter ref="H3:I23" xr:uid="{DE3521DB-ACF9-5941-83FF-3A73061C29CF}"/>
  <sortState xmlns:xlrd2="http://schemas.microsoft.com/office/spreadsheetml/2017/richdata2" ref="H4:I23">
    <sortCondition descending="1" ref="I3:I23"/>
  </sortState>
  <tableColumns count="2">
    <tableColumn id="1" xr3:uid="{B4EE8F27-7F64-F442-988F-2ADB9AE86F28}" name="Product Model" dataDxfId="1"/>
    <tableColumn id="2" xr3:uid="{BC97A1B2-2474-B544-AB0B-CFF6D8FFB292}" name="Count" dataDxfId="0">
      <calculatedColumnFormula>COUNTIF(B:B,H4)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CAD5AD-A042-9D47-A4AC-94FC5E940288}" name="QuarterCounts" displayName="QuarterCounts" ref="K3:L18" totalsRowShown="0" headerRowDxfId="21">
  <autoFilter ref="K3:L18" xr:uid="{55CAD5AD-A042-9D47-A4AC-94FC5E940288}"/>
  <tableColumns count="2">
    <tableColumn id="1" xr3:uid="{52547E60-14C4-FD4E-9FF2-853A9A19085F}" name="Quarter"/>
    <tableColumn id="2" xr3:uid="{8BB360B1-21A3-0E46-89BF-A8E4337D1857}" name="Count" dataDxfId="19">
      <calculatedColumnFormula>COUNTIF($E:$E,QuarterCounts[[#This Row],[Quarter]])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79"/>
  <sheetViews>
    <sheetView showGridLines="0" tabSelected="1" workbookViewId="0">
      <selection activeCell="K34" sqref="K34"/>
    </sheetView>
  </sheetViews>
  <sheetFormatPr baseColWidth="10" defaultRowHeight="16" x14ac:dyDescent="0.2"/>
  <cols>
    <col min="1" max="1" width="19" bestFit="1" customWidth="1"/>
    <col min="2" max="2" width="23.1640625" bestFit="1" customWidth="1"/>
    <col min="3" max="3" width="56" bestFit="1" customWidth="1"/>
    <col min="4" max="4" width="20.6640625" bestFit="1" customWidth="1"/>
    <col min="5" max="5" width="10" bestFit="1" customWidth="1"/>
    <col min="6" max="6" width="18.1640625" bestFit="1" customWidth="1"/>
    <col min="7" max="7" width="9.83203125" customWidth="1"/>
    <col min="8" max="8" width="23.1640625" bestFit="1" customWidth="1"/>
    <col min="9" max="9" width="8.33203125" bestFit="1" customWidth="1"/>
    <col min="11" max="11" width="10" customWidth="1"/>
    <col min="12" max="12" width="14.83203125" customWidth="1"/>
  </cols>
  <sheetData>
    <row r="2" spans="1:12" ht="25" thickBot="1" x14ac:dyDescent="0.25">
      <c r="A2" s="3" t="s">
        <v>593</v>
      </c>
      <c r="B2" s="3"/>
      <c r="C2" s="3"/>
      <c r="D2" s="3"/>
      <c r="E2" s="3"/>
      <c r="F2" s="3"/>
      <c r="H2" s="4" t="s">
        <v>594</v>
      </c>
      <c r="I2" s="4"/>
      <c r="K2" s="5" t="s">
        <v>595</v>
      </c>
      <c r="L2" s="5"/>
    </row>
    <row r="3" spans="1:12" ht="17" thickTop="1" x14ac:dyDescent="0.2">
      <c r="A3" t="s">
        <v>0</v>
      </c>
      <c r="B3" t="s">
        <v>1</v>
      </c>
      <c r="C3" t="s">
        <v>2</v>
      </c>
      <c r="D3" t="s">
        <v>3</v>
      </c>
      <c r="E3" t="s">
        <v>577</v>
      </c>
      <c r="F3" t="s">
        <v>4</v>
      </c>
      <c r="H3" s="7" t="s">
        <v>1</v>
      </c>
      <c r="I3" s="2" t="s">
        <v>576</v>
      </c>
      <c r="K3" s="2" t="s">
        <v>577</v>
      </c>
      <c r="L3" s="2" t="s">
        <v>576</v>
      </c>
    </row>
    <row r="4" spans="1:12" x14ac:dyDescent="0.2">
      <c r="A4" t="s">
        <v>275</v>
      </c>
      <c r="B4" t="s">
        <v>276</v>
      </c>
      <c r="C4" t="s">
        <v>277</v>
      </c>
      <c r="D4" s="1">
        <v>46052</v>
      </c>
      <c r="E4" s="1" t="s">
        <v>580</v>
      </c>
      <c r="F4" s="1">
        <v>45687</v>
      </c>
      <c r="H4" s="8" t="s">
        <v>9</v>
      </c>
      <c r="I4" s="9">
        <f>COUNTIF(B:B,H4)</f>
        <v>86</v>
      </c>
      <c r="K4" t="s">
        <v>578</v>
      </c>
      <c r="L4" s="6">
        <f>COUNTIF($E:$E,QuarterCounts[[#This Row],[Quarter]])</f>
        <v>1</v>
      </c>
    </row>
    <row r="5" spans="1:12" x14ac:dyDescent="0.2">
      <c r="A5" t="s">
        <v>312</v>
      </c>
      <c r="B5" t="s">
        <v>313</v>
      </c>
      <c r="C5" t="s">
        <v>314</v>
      </c>
      <c r="D5" s="1">
        <v>46052</v>
      </c>
      <c r="E5" s="1" t="s">
        <v>580</v>
      </c>
      <c r="F5" s="1">
        <v>45687</v>
      </c>
      <c r="H5" s="8" t="s">
        <v>23</v>
      </c>
      <c r="I5" s="9">
        <f>COUNTIF(B:B,H5)</f>
        <v>46</v>
      </c>
      <c r="K5" t="s">
        <v>579</v>
      </c>
      <c r="L5" s="6">
        <f>COUNTIF($E:$E,QuarterCounts[[#This Row],[Quarter]])</f>
        <v>1</v>
      </c>
    </row>
    <row r="6" spans="1:12" x14ac:dyDescent="0.2">
      <c r="A6" t="s">
        <v>13</v>
      </c>
      <c r="B6" t="s">
        <v>9</v>
      </c>
      <c r="C6" t="s">
        <v>14</v>
      </c>
      <c r="D6" s="1">
        <v>46119</v>
      </c>
      <c r="E6" s="1" t="s">
        <v>581</v>
      </c>
      <c r="F6" s="1">
        <v>45754</v>
      </c>
      <c r="H6" s="8" t="s">
        <v>6</v>
      </c>
      <c r="I6" s="9">
        <f>COUNTIF(B:B,H6)</f>
        <v>40</v>
      </c>
      <c r="K6" t="s">
        <v>580</v>
      </c>
      <c r="L6" s="6">
        <f>COUNTIF($E:$E,QuarterCounts[[#This Row],[Quarter]])</f>
        <v>2</v>
      </c>
    </row>
    <row r="7" spans="1:12" x14ac:dyDescent="0.2">
      <c r="A7" t="s">
        <v>81</v>
      </c>
      <c r="B7" t="s">
        <v>9</v>
      </c>
      <c r="C7" t="s">
        <v>82</v>
      </c>
      <c r="D7" s="1">
        <v>46294</v>
      </c>
      <c r="E7" s="1" t="s">
        <v>582</v>
      </c>
      <c r="F7" s="1">
        <v>44448</v>
      </c>
      <c r="H7" s="8" t="s">
        <v>37</v>
      </c>
      <c r="I7" s="9">
        <f>COUNTIF(B:B,H7)</f>
        <v>24</v>
      </c>
      <c r="K7" t="s">
        <v>581</v>
      </c>
      <c r="L7" s="6">
        <f>COUNTIF($E:$E,QuarterCounts[[#This Row],[Quarter]])</f>
        <v>1</v>
      </c>
    </row>
    <row r="8" spans="1:12" x14ac:dyDescent="0.2">
      <c r="A8" t="s">
        <v>436</v>
      </c>
      <c r="B8" t="s">
        <v>9</v>
      </c>
      <c r="C8" t="s">
        <v>437</v>
      </c>
      <c r="D8" s="1">
        <v>46294</v>
      </c>
      <c r="E8" s="1" t="s">
        <v>582</v>
      </c>
      <c r="F8" s="1">
        <v>44448</v>
      </c>
      <c r="H8" s="8" t="s">
        <v>136</v>
      </c>
      <c r="I8" s="9">
        <f>COUNTIF(B:B,H8)</f>
        <v>13</v>
      </c>
      <c r="K8" t="s">
        <v>582</v>
      </c>
      <c r="L8" s="6">
        <f>COUNTIF($E:$E,QuarterCounts[[#This Row],[Quarter]])</f>
        <v>4</v>
      </c>
    </row>
    <row r="9" spans="1:12" x14ac:dyDescent="0.2">
      <c r="A9" t="s">
        <v>544</v>
      </c>
      <c r="B9" t="s">
        <v>9</v>
      </c>
      <c r="C9" t="s">
        <v>545</v>
      </c>
      <c r="D9" s="1">
        <v>46294</v>
      </c>
      <c r="E9" s="1" t="s">
        <v>582</v>
      </c>
      <c r="F9" s="1">
        <v>44448</v>
      </c>
      <c r="H9" s="8" t="s">
        <v>34</v>
      </c>
      <c r="I9" s="9">
        <f>COUNTIF(B:B,H9)</f>
        <v>12</v>
      </c>
      <c r="K9" t="s">
        <v>583</v>
      </c>
      <c r="L9" s="6">
        <f>COUNTIF($E:$E,QuarterCounts[[#This Row],[Quarter]])</f>
        <v>90</v>
      </c>
    </row>
    <row r="10" spans="1:12" x14ac:dyDescent="0.2">
      <c r="A10" t="s">
        <v>568</v>
      </c>
      <c r="B10" t="s">
        <v>9</v>
      </c>
      <c r="C10" t="s">
        <v>569</v>
      </c>
      <c r="D10" s="1">
        <v>46294</v>
      </c>
      <c r="E10" s="1" t="s">
        <v>582</v>
      </c>
      <c r="F10" s="1">
        <v>44434</v>
      </c>
      <c r="H10" s="8" t="s">
        <v>46</v>
      </c>
      <c r="I10" s="9">
        <f>COUNTIF(B:B,H10)</f>
        <v>10</v>
      </c>
      <c r="K10" t="s">
        <v>584</v>
      </c>
      <c r="L10" s="6">
        <f>COUNTIF($E:$E,QuarterCounts[[#This Row],[Quarter]])</f>
        <v>50</v>
      </c>
    </row>
    <row r="11" spans="1:12" x14ac:dyDescent="0.2">
      <c r="A11" t="s">
        <v>450</v>
      </c>
      <c r="B11" t="s">
        <v>95</v>
      </c>
      <c r="C11" t="s">
        <v>451</v>
      </c>
      <c r="D11" s="1">
        <v>46307</v>
      </c>
      <c r="E11" s="1" t="s">
        <v>583</v>
      </c>
      <c r="F11" s="1">
        <v>44482</v>
      </c>
      <c r="H11" s="8" t="s">
        <v>16</v>
      </c>
      <c r="I11" s="9">
        <f>COUNTIF(B:B,H11)</f>
        <v>8</v>
      </c>
      <c r="K11" t="s">
        <v>585</v>
      </c>
      <c r="L11" s="6">
        <f>COUNTIF($E:$E,QuarterCounts[[#This Row],[Quarter]])</f>
        <v>4</v>
      </c>
    </row>
    <row r="12" spans="1:12" x14ac:dyDescent="0.2">
      <c r="A12" t="s">
        <v>178</v>
      </c>
      <c r="B12" t="s">
        <v>95</v>
      </c>
      <c r="C12" t="s">
        <v>179</v>
      </c>
      <c r="D12" s="1">
        <v>46308</v>
      </c>
      <c r="E12" s="1" t="s">
        <v>583</v>
      </c>
      <c r="F12" s="1">
        <v>44483</v>
      </c>
      <c r="H12" s="8" t="s">
        <v>79</v>
      </c>
      <c r="I12" s="9">
        <f>COUNTIF(B:B,H12)</f>
        <v>8</v>
      </c>
      <c r="K12" t="s">
        <v>586</v>
      </c>
      <c r="L12" s="6">
        <f>COUNTIF($E:$E,QuarterCounts[[#This Row],[Quarter]])</f>
        <v>24</v>
      </c>
    </row>
    <row r="13" spans="1:12" x14ac:dyDescent="0.2">
      <c r="A13" t="s">
        <v>408</v>
      </c>
      <c r="B13" t="s">
        <v>95</v>
      </c>
      <c r="C13" t="s">
        <v>409</v>
      </c>
      <c r="D13" s="1">
        <v>46308</v>
      </c>
      <c r="E13" s="1" t="s">
        <v>583</v>
      </c>
      <c r="F13" s="1">
        <v>44483</v>
      </c>
      <c r="H13" s="8" t="s">
        <v>86</v>
      </c>
      <c r="I13" s="9">
        <f>COUNTIF(B:B,H13)</f>
        <v>8</v>
      </c>
      <c r="K13" t="s">
        <v>587</v>
      </c>
      <c r="L13" s="6">
        <f>COUNTIF($E:$E,QuarterCounts[[#This Row],[Quarter]])</f>
        <v>46</v>
      </c>
    </row>
    <row r="14" spans="1:12" x14ac:dyDescent="0.2">
      <c r="A14" t="s">
        <v>564</v>
      </c>
      <c r="B14" t="s">
        <v>95</v>
      </c>
      <c r="C14" t="s">
        <v>565</v>
      </c>
      <c r="D14" s="1">
        <v>46308</v>
      </c>
      <c r="E14" s="1" t="s">
        <v>583</v>
      </c>
      <c r="F14" s="1">
        <v>44483</v>
      </c>
      <c r="H14" s="8" t="s">
        <v>61</v>
      </c>
      <c r="I14" s="9">
        <f>COUNTIF(B:B,H14)</f>
        <v>6</v>
      </c>
      <c r="K14" t="s">
        <v>588</v>
      </c>
      <c r="L14" s="6">
        <f>COUNTIF($E:$E,QuarterCounts[[#This Row],[Quarter]])</f>
        <v>10</v>
      </c>
    </row>
    <row r="15" spans="1:12" x14ac:dyDescent="0.2">
      <c r="A15" t="s">
        <v>11</v>
      </c>
      <c r="B15" t="s">
        <v>9</v>
      </c>
      <c r="C15" t="s">
        <v>12</v>
      </c>
      <c r="D15" s="1">
        <v>46309</v>
      </c>
      <c r="E15" s="1" t="s">
        <v>583</v>
      </c>
      <c r="F15" s="1">
        <v>44484</v>
      </c>
      <c r="H15" s="8" t="s">
        <v>95</v>
      </c>
      <c r="I15" s="9">
        <f>COUNTIF(B:B,H15)</f>
        <v>6</v>
      </c>
      <c r="K15" t="s">
        <v>589</v>
      </c>
      <c r="L15" s="6">
        <f>COUNTIF($E:$E,QuarterCounts[[#This Row],[Quarter]])</f>
        <v>21</v>
      </c>
    </row>
    <row r="16" spans="1:12" x14ac:dyDescent="0.2">
      <c r="A16" t="s">
        <v>490</v>
      </c>
      <c r="B16" t="s">
        <v>9</v>
      </c>
      <c r="C16" t="s">
        <v>491</v>
      </c>
      <c r="D16" s="1">
        <v>46309</v>
      </c>
      <c r="E16" s="1" t="s">
        <v>583</v>
      </c>
      <c r="F16" s="1">
        <v>44484</v>
      </c>
      <c r="H16" s="8" t="s">
        <v>76</v>
      </c>
      <c r="I16" s="9">
        <f>COUNTIF(B:B,H16)</f>
        <v>2</v>
      </c>
      <c r="K16" t="s">
        <v>590</v>
      </c>
      <c r="L16" s="6">
        <f>COUNTIF($E:$E,QuarterCounts[[#This Row],[Quarter]])</f>
        <v>9</v>
      </c>
    </row>
    <row r="17" spans="1:12" x14ac:dyDescent="0.2">
      <c r="A17" t="s">
        <v>69</v>
      </c>
      <c r="B17" t="s">
        <v>9</v>
      </c>
      <c r="C17" t="s">
        <v>70</v>
      </c>
      <c r="D17" s="1">
        <v>46313</v>
      </c>
      <c r="E17" s="1" t="s">
        <v>583</v>
      </c>
      <c r="F17" s="1">
        <v>44488</v>
      </c>
      <c r="H17" s="8" t="s">
        <v>130</v>
      </c>
      <c r="I17" s="9">
        <f>COUNTIF(B:B,H17)</f>
        <v>1</v>
      </c>
      <c r="K17" t="s">
        <v>591</v>
      </c>
      <c r="L17" s="6">
        <f>COUNTIF($E:$E,QuarterCounts[[#This Row],[Quarter]])</f>
        <v>11</v>
      </c>
    </row>
    <row r="18" spans="1:12" x14ac:dyDescent="0.2">
      <c r="A18" t="s">
        <v>99</v>
      </c>
      <c r="B18" t="s">
        <v>9</v>
      </c>
      <c r="C18" t="s">
        <v>100</v>
      </c>
      <c r="D18" s="1">
        <v>46313</v>
      </c>
      <c r="E18" s="1" t="s">
        <v>583</v>
      </c>
      <c r="F18" s="1">
        <v>44488</v>
      </c>
      <c r="H18" s="8" t="s">
        <v>241</v>
      </c>
      <c r="I18" s="9">
        <f>COUNTIF(B:B,H18)</f>
        <v>1</v>
      </c>
      <c r="K18" t="s">
        <v>592</v>
      </c>
      <c r="L18" s="6">
        <f>COUNTIF($E:$E,QuarterCounts[[#This Row],[Quarter]])</f>
        <v>1</v>
      </c>
    </row>
    <row r="19" spans="1:12" x14ac:dyDescent="0.2">
      <c r="A19" t="s">
        <v>123</v>
      </c>
      <c r="B19" t="s">
        <v>9</v>
      </c>
      <c r="C19" t="s">
        <v>124</v>
      </c>
      <c r="D19" s="1">
        <v>46313</v>
      </c>
      <c r="E19" s="1" t="s">
        <v>583</v>
      </c>
      <c r="F19" s="1">
        <v>44488</v>
      </c>
      <c r="H19" s="8" t="s">
        <v>276</v>
      </c>
      <c r="I19" s="9">
        <f>COUNTIF(B:B,H19)</f>
        <v>1</v>
      </c>
      <c r="L19" s="6"/>
    </row>
    <row r="20" spans="1:12" x14ac:dyDescent="0.2">
      <c r="A20" t="s">
        <v>265</v>
      </c>
      <c r="B20" t="s">
        <v>9</v>
      </c>
      <c r="C20" t="s">
        <v>266</v>
      </c>
      <c r="D20" s="1">
        <v>46313</v>
      </c>
      <c r="E20" s="1" t="s">
        <v>583</v>
      </c>
      <c r="F20" s="1">
        <v>44488</v>
      </c>
      <c r="H20" s="8" t="s">
        <v>313</v>
      </c>
      <c r="I20" s="9">
        <f>COUNTIF(B:B,H20)</f>
        <v>1</v>
      </c>
      <c r="L20" s="6"/>
    </row>
    <row r="21" spans="1:12" x14ac:dyDescent="0.2">
      <c r="A21" t="s">
        <v>8</v>
      </c>
      <c r="B21" t="s">
        <v>9</v>
      </c>
      <c r="C21" t="s">
        <v>10</v>
      </c>
      <c r="D21" s="1">
        <v>46319</v>
      </c>
      <c r="E21" s="1" t="s">
        <v>583</v>
      </c>
      <c r="F21" s="1">
        <v>44494</v>
      </c>
      <c r="H21" s="8" t="s">
        <v>402</v>
      </c>
      <c r="I21" s="9">
        <f>COUNTIF(B:B,H21)</f>
        <v>1</v>
      </c>
      <c r="L21" s="6"/>
    </row>
    <row r="22" spans="1:12" x14ac:dyDescent="0.2">
      <c r="A22" t="s">
        <v>18</v>
      </c>
      <c r="B22" t="s">
        <v>9</v>
      </c>
      <c r="C22" t="s">
        <v>19</v>
      </c>
      <c r="D22" s="1">
        <v>46319</v>
      </c>
      <c r="E22" s="1" t="s">
        <v>583</v>
      </c>
      <c r="F22" s="1">
        <v>44494</v>
      </c>
      <c r="H22" s="8" t="s">
        <v>527</v>
      </c>
      <c r="I22" s="9">
        <f>COUNTIF(B:B,H22)</f>
        <v>1</v>
      </c>
      <c r="L22" s="6"/>
    </row>
    <row r="23" spans="1:12" x14ac:dyDescent="0.2">
      <c r="A23" t="s">
        <v>22</v>
      </c>
      <c r="B23" t="s">
        <v>23</v>
      </c>
      <c r="C23" t="s">
        <v>24</v>
      </c>
      <c r="D23" s="1">
        <v>46319</v>
      </c>
      <c r="E23" s="1" t="s">
        <v>583</v>
      </c>
      <c r="F23" s="1">
        <v>44494</v>
      </c>
      <c r="H23" s="8" t="s">
        <v>534</v>
      </c>
      <c r="I23" s="9">
        <f>COUNTIF(B:B,H23)</f>
        <v>1</v>
      </c>
      <c r="L23" s="6"/>
    </row>
    <row r="24" spans="1:12" x14ac:dyDescent="0.2">
      <c r="A24" t="s">
        <v>50</v>
      </c>
      <c r="B24" t="s">
        <v>23</v>
      </c>
      <c r="C24" t="s">
        <v>51</v>
      </c>
      <c r="D24" s="1">
        <v>46319</v>
      </c>
      <c r="E24" s="1" t="s">
        <v>583</v>
      </c>
      <c r="F24" s="1">
        <v>44494</v>
      </c>
      <c r="I24" s="6"/>
      <c r="L24" s="6"/>
    </row>
    <row r="25" spans="1:12" x14ac:dyDescent="0.2">
      <c r="A25" t="s">
        <v>54</v>
      </c>
      <c r="B25" t="s">
        <v>9</v>
      </c>
      <c r="C25" t="s">
        <v>55</v>
      </c>
      <c r="D25" s="1">
        <v>46319</v>
      </c>
      <c r="E25" s="1" t="s">
        <v>583</v>
      </c>
      <c r="F25" s="1">
        <v>44494</v>
      </c>
      <c r="I25" s="6"/>
      <c r="L25" s="6"/>
    </row>
    <row r="26" spans="1:12" x14ac:dyDescent="0.2">
      <c r="A26" t="s">
        <v>56</v>
      </c>
      <c r="B26" t="s">
        <v>9</v>
      </c>
      <c r="C26" t="s">
        <v>57</v>
      </c>
      <c r="D26" s="1">
        <v>46319</v>
      </c>
      <c r="E26" s="1" t="s">
        <v>583</v>
      </c>
      <c r="F26" s="1">
        <v>44494</v>
      </c>
      <c r="I26" s="6"/>
      <c r="L26" s="6"/>
    </row>
    <row r="27" spans="1:12" x14ac:dyDescent="0.2">
      <c r="A27" t="s">
        <v>58</v>
      </c>
      <c r="B27" t="s">
        <v>9</v>
      </c>
      <c r="C27" t="s">
        <v>59</v>
      </c>
      <c r="D27" s="1">
        <v>46319</v>
      </c>
      <c r="E27" s="1" t="s">
        <v>583</v>
      </c>
      <c r="F27" s="1">
        <v>44494</v>
      </c>
      <c r="I27" s="6"/>
      <c r="L27" s="6"/>
    </row>
    <row r="28" spans="1:12" x14ac:dyDescent="0.2">
      <c r="A28" t="s">
        <v>63</v>
      </c>
      <c r="B28" t="s">
        <v>23</v>
      </c>
      <c r="C28" t="s">
        <v>64</v>
      </c>
      <c r="D28" s="1">
        <v>46319</v>
      </c>
      <c r="E28" s="1" t="s">
        <v>583</v>
      </c>
      <c r="F28" s="1">
        <v>44483</v>
      </c>
      <c r="I28" s="6"/>
      <c r="L28" s="6"/>
    </row>
    <row r="29" spans="1:12" x14ac:dyDescent="0.2">
      <c r="A29" t="s">
        <v>67</v>
      </c>
      <c r="B29" t="s">
        <v>23</v>
      </c>
      <c r="C29" t="s">
        <v>68</v>
      </c>
      <c r="D29" s="1">
        <v>46319</v>
      </c>
      <c r="E29" s="1" t="s">
        <v>583</v>
      </c>
      <c r="F29" s="1">
        <v>44483</v>
      </c>
      <c r="I29" s="6"/>
      <c r="L29" s="6"/>
    </row>
    <row r="30" spans="1:12" x14ac:dyDescent="0.2">
      <c r="A30" t="s">
        <v>71</v>
      </c>
      <c r="B30" t="s">
        <v>23</v>
      </c>
      <c r="C30" t="s">
        <v>72</v>
      </c>
      <c r="D30" s="1">
        <v>46319</v>
      </c>
      <c r="E30" s="1" t="s">
        <v>583</v>
      </c>
      <c r="F30" s="1">
        <v>44494</v>
      </c>
      <c r="I30" s="6"/>
      <c r="L30" s="6"/>
    </row>
    <row r="31" spans="1:12" x14ac:dyDescent="0.2">
      <c r="A31" t="s">
        <v>88</v>
      </c>
      <c r="B31" t="s">
        <v>23</v>
      </c>
      <c r="C31" t="s">
        <v>89</v>
      </c>
      <c r="D31" s="1">
        <v>46319</v>
      </c>
      <c r="E31" s="1" t="s">
        <v>583</v>
      </c>
      <c r="F31" s="1">
        <v>44494</v>
      </c>
      <c r="I31" s="6"/>
      <c r="L31" s="6"/>
    </row>
    <row r="32" spans="1:12" x14ac:dyDescent="0.2">
      <c r="A32" t="s">
        <v>97</v>
      </c>
      <c r="B32" t="s">
        <v>23</v>
      </c>
      <c r="C32" t="s">
        <v>98</v>
      </c>
      <c r="D32" s="1">
        <v>46319</v>
      </c>
      <c r="E32" s="1" t="s">
        <v>583</v>
      </c>
      <c r="F32" s="1">
        <v>44494</v>
      </c>
      <c r="I32" s="6"/>
      <c r="L32" s="6"/>
    </row>
    <row r="33" spans="1:12" x14ac:dyDescent="0.2">
      <c r="A33" t="s">
        <v>103</v>
      </c>
      <c r="B33" t="s">
        <v>23</v>
      </c>
      <c r="C33" t="s">
        <v>104</v>
      </c>
      <c r="D33" s="1">
        <v>46319</v>
      </c>
      <c r="E33" s="1" t="s">
        <v>583</v>
      </c>
      <c r="F33" s="1">
        <v>44483</v>
      </c>
      <c r="I33" s="6"/>
      <c r="L33" s="6"/>
    </row>
    <row r="34" spans="1:12" x14ac:dyDescent="0.2">
      <c r="A34" t="s">
        <v>111</v>
      </c>
      <c r="B34" t="s">
        <v>23</v>
      </c>
      <c r="C34" t="s">
        <v>112</v>
      </c>
      <c r="D34" s="1">
        <v>46319</v>
      </c>
      <c r="E34" s="1" t="s">
        <v>583</v>
      </c>
      <c r="F34" s="1">
        <v>44494</v>
      </c>
      <c r="I34" s="6"/>
      <c r="L34" s="6"/>
    </row>
    <row r="35" spans="1:12" x14ac:dyDescent="0.2">
      <c r="A35" t="s">
        <v>125</v>
      </c>
      <c r="B35" t="s">
        <v>9</v>
      </c>
      <c r="C35" t="s">
        <v>126</v>
      </c>
      <c r="D35" s="1">
        <v>46319</v>
      </c>
      <c r="E35" s="1" t="s">
        <v>583</v>
      </c>
      <c r="F35" s="1">
        <v>44494</v>
      </c>
      <c r="I35" s="6"/>
      <c r="L35" s="6"/>
    </row>
    <row r="36" spans="1:12" x14ac:dyDescent="0.2">
      <c r="A36" t="s">
        <v>154</v>
      </c>
      <c r="B36" t="s">
        <v>23</v>
      </c>
      <c r="C36" t="s">
        <v>155</v>
      </c>
      <c r="D36" s="1">
        <v>46319</v>
      </c>
      <c r="E36" s="1" t="s">
        <v>583</v>
      </c>
      <c r="F36" s="1">
        <v>44494</v>
      </c>
      <c r="I36" s="6"/>
      <c r="L36" s="6"/>
    </row>
    <row r="37" spans="1:12" x14ac:dyDescent="0.2">
      <c r="A37" t="s">
        <v>162</v>
      </c>
      <c r="B37" t="s">
        <v>23</v>
      </c>
      <c r="C37" t="s">
        <v>163</v>
      </c>
      <c r="D37" s="1">
        <v>46319</v>
      </c>
      <c r="E37" s="1" t="s">
        <v>583</v>
      </c>
      <c r="F37" s="1">
        <v>44494</v>
      </c>
      <c r="I37" s="6"/>
      <c r="L37" s="6"/>
    </row>
    <row r="38" spans="1:12" x14ac:dyDescent="0.2">
      <c r="A38" t="s">
        <v>184</v>
      </c>
      <c r="B38" t="s">
        <v>9</v>
      </c>
      <c r="C38" t="s">
        <v>185</v>
      </c>
      <c r="D38" s="1">
        <v>46319</v>
      </c>
      <c r="E38" s="1" t="s">
        <v>583</v>
      </c>
      <c r="F38" s="1">
        <v>44494</v>
      </c>
      <c r="I38" s="6"/>
      <c r="L38" s="6"/>
    </row>
    <row r="39" spans="1:12" x14ac:dyDescent="0.2">
      <c r="A39" t="s">
        <v>194</v>
      </c>
      <c r="B39" t="s">
        <v>23</v>
      </c>
      <c r="C39" t="s">
        <v>195</v>
      </c>
      <c r="D39" s="1">
        <v>46319</v>
      </c>
      <c r="E39" s="1" t="s">
        <v>583</v>
      </c>
      <c r="F39" s="1">
        <v>44494</v>
      </c>
      <c r="I39" s="6"/>
      <c r="L39" s="6"/>
    </row>
    <row r="40" spans="1:12" x14ac:dyDescent="0.2">
      <c r="A40" t="s">
        <v>202</v>
      </c>
      <c r="B40" t="s">
        <v>23</v>
      </c>
      <c r="C40" t="s">
        <v>203</v>
      </c>
      <c r="D40" s="1">
        <v>46319</v>
      </c>
      <c r="E40" s="1" t="s">
        <v>583</v>
      </c>
      <c r="F40" s="1">
        <v>44494</v>
      </c>
      <c r="I40" s="6"/>
      <c r="L40" s="6"/>
    </row>
    <row r="41" spans="1:12" x14ac:dyDescent="0.2">
      <c r="A41" t="s">
        <v>208</v>
      </c>
      <c r="B41" t="s">
        <v>23</v>
      </c>
      <c r="C41" t="s">
        <v>209</v>
      </c>
      <c r="D41" s="1">
        <v>46319</v>
      </c>
      <c r="E41" s="1" t="s">
        <v>583</v>
      </c>
      <c r="F41" s="1">
        <v>44483</v>
      </c>
      <c r="I41" s="6"/>
      <c r="L41" s="6"/>
    </row>
    <row r="42" spans="1:12" x14ac:dyDescent="0.2">
      <c r="A42" t="s">
        <v>210</v>
      </c>
      <c r="B42" t="s">
        <v>23</v>
      </c>
      <c r="C42" t="s">
        <v>211</v>
      </c>
      <c r="D42" s="1">
        <v>46319</v>
      </c>
      <c r="E42" s="1" t="s">
        <v>583</v>
      </c>
      <c r="F42" s="1">
        <v>44494</v>
      </c>
      <c r="I42" s="6"/>
      <c r="L42" s="6"/>
    </row>
    <row r="43" spans="1:12" x14ac:dyDescent="0.2">
      <c r="A43" t="s">
        <v>212</v>
      </c>
      <c r="B43" t="s">
        <v>23</v>
      </c>
      <c r="C43" t="s">
        <v>213</v>
      </c>
      <c r="D43" s="1">
        <v>46319</v>
      </c>
      <c r="E43" s="1" t="s">
        <v>583</v>
      </c>
      <c r="F43" s="1">
        <v>44494</v>
      </c>
      <c r="I43" s="6"/>
      <c r="L43" s="6"/>
    </row>
    <row r="44" spans="1:12" x14ac:dyDescent="0.2">
      <c r="A44" t="s">
        <v>216</v>
      </c>
      <c r="B44" t="s">
        <v>9</v>
      </c>
      <c r="C44" t="s">
        <v>217</v>
      </c>
      <c r="D44" s="1">
        <v>46319</v>
      </c>
      <c r="E44" s="1" t="s">
        <v>583</v>
      </c>
      <c r="F44" s="1">
        <v>44494</v>
      </c>
      <c r="I44" s="6"/>
      <c r="L44" s="6"/>
    </row>
    <row r="45" spans="1:12" x14ac:dyDescent="0.2">
      <c r="A45" t="s">
        <v>218</v>
      </c>
      <c r="B45" t="s">
        <v>9</v>
      </c>
      <c r="C45" t="s">
        <v>219</v>
      </c>
      <c r="D45" s="1">
        <v>46319</v>
      </c>
      <c r="E45" s="1" t="s">
        <v>583</v>
      </c>
      <c r="F45" s="1">
        <v>44494</v>
      </c>
      <c r="I45" s="6"/>
      <c r="L45" s="6"/>
    </row>
    <row r="46" spans="1:12" x14ac:dyDescent="0.2">
      <c r="A46" t="s">
        <v>222</v>
      </c>
      <c r="B46" t="s">
        <v>23</v>
      </c>
      <c r="C46" t="s">
        <v>223</v>
      </c>
      <c r="D46" s="1">
        <v>46319</v>
      </c>
      <c r="E46" s="1" t="s">
        <v>583</v>
      </c>
      <c r="F46" s="1">
        <v>44494</v>
      </c>
      <c r="I46" s="6"/>
      <c r="L46" s="6"/>
    </row>
    <row r="47" spans="1:12" x14ac:dyDescent="0.2">
      <c r="A47" t="s">
        <v>228</v>
      </c>
      <c r="B47" t="s">
        <v>9</v>
      </c>
      <c r="C47" t="s">
        <v>229</v>
      </c>
      <c r="D47" s="1">
        <v>46319</v>
      </c>
      <c r="E47" s="1" t="s">
        <v>583</v>
      </c>
      <c r="F47" s="1">
        <v>44494</v>
      </c>
      <c r="I47" s="6"/>
      <c r="L47" s="6"/>
    </row>
    <row r="48" spans="1:12" x14ac:dyDescent="0.2">
      <c r="A48" t="s">
        <v>234</v>
      </c>
      <c r="B48" t="s">
        <v>23</v>
      </c>
      <c r="C48" t="s">
        <v>235</v>
      </c>
      <c r="D48" s="1">
        <v>46319</v>
      </c>
      <c r="E48" s="1" t="s">
        <v>583</v>
      </c>
      <c r="F48" s="1">
        <v>44494</v>
      </c>
      <c r="I48" s="6"/>
      <c r="L48" s="6"/>
    </row>
    <row r="49" spans="1:12" x14ac:dyDescent="0.2">
      <c r="A49" t="s">
        <v>238</v>
      </c>
      <c r="B49" t="s">
        <v>23</v>
      </c>
      <c r="C49" t="s">
        <v>239</v>
      </c>
      <c r="D49" s="1">
        <v>46319</v>
      </c>
      <c r="E49" s="1" t="s">
        <v>583</v>
      </c>
      <c r="F49" s="1">
        <v>44494</v>
      </c>
      <c r="I49" s="6"/>
      <c r="L49" s="6"/>
    </row>
    <row r="50" spans="1:12" x14ac:dyDescent="0.2">
      <c r="A50" t="s">
        <v>245</v>
      </c>
      <c r="B50" t="s">
        <v>23</v>
      </c>
      <c r="C50" t="s">
        <v>246</v>
      </c>
      <c r="D50" s="1">
        <v>46319</v>
      </c>
      <c r="E50" s="1" t="s">
        <v>583</v>
      </c>
      <c r="F50" s="1">
        <v>44494</v>
      </c>
      <c r="I50" s="6"/>
      <c r="L50" s="6"/>
    </row>
    <row r="51" spans="1:12" x14ac:dyDescent="0.2">
      <c r="A51" t="s">
        <v>249</v>
      </c>
      <c r="B51" t="s">
        <v>9</v>
      </c>
      <c r="C51" t="s">
        <v>250</v>
      </c>
      <c r="D51" s="1">
        <v>46319</v>
      </c>
      <c r="E51" s="1" t="s">
        <v>583</v>
      </c>
      <c r="F51" s="1">
        <v>44494</v>
      </c>
      <c r="I51" s="6"/>
      <c r="L51" s="6"/>
    </row>
    <row r="52" spans="1:12" x14ac:dyDescent="0.2">
      <c r="A52" t="s">
        <v>267</v>
      </c>
      <c r="B52" t="s">
        <v>9</v>
      </c>
      <c r="C52" t="s">
        <v>268</v>
      </c>
      <c r="D52" s="1">
        <v>46319</v>
      </c>
      <c r="E52" s="1" t="s">
        <v>583</v>
      </c>
      <c r="F52" s="1">
        <v>44494</v>
      </c>
      <c r="I52" s="6"/>
      <c r="L52" s="6"/>
    </row>
    <row r="53" spans="1:12" x14ac:dyDescent="0.2">
      <c r="A53" t="s">
        <v>269</v>
      </c>
      <c r="B53" t="s">
        <v>9</v>
      </c>
      <c r="C53" t="s">
        <v>270</v>
      </c>
      <c r="D53" s="1">
        <v>46319</v>
      </c>
      <c r="E53" s="1" t="s">
        <v>583</v>
      </c>
      <c r="F53" s="1">
        <v>44494</v>
      </c>
      <c r="I53" s="6"/>
      <c r="L53" s="6"/>
    </row>
    <row r="54" spans="1:12" x14ac:dyDescent="0.2">
      <c r="A54" t="s">
        <v>300</v>
      </c>
      <c r="B54" t="s">
        <v>23</v>
      </c>
      <c r="C54" t="s">
        <v>301</v>
      </c>
      <c r="D54" s="1">
        <v>46319</v>
      </c>
      <c r="E54" s="1" t="s">
        <v>583</v>
      </c>
      <c r="F54" s="1">
        <v>44494</v>
      </c>
      <c r="I54" s="6"/>
      <c r="L54" s="6"/>
    </row>
    <row r="55" spans="1:12" x14ac:dyDescent="0.2">
      <c r="A55" t="s">
        <v>302</v>
      </c>
      <c r="B55" t="s">
        <v>9</v>
      </c>
      <c r="C55" t="s">
        <v>303</v>
      </c>
      <c r="D55" s="1">
        <v>46319</v>
      </c>
      <c r="E55" s="1" t="s">
        <v>583</v>
      </c>
      <c r="F55" s="1">
        <v>44494</v>
      </c>
      <c r="I55" s="6"/>
      <c r="L55" s="6"/>
    </row>
    <row r="56" spans="1:12" x14ac:dyDescent="0.2">
      <c r="A56" t="s">
        <v>306</v>
      </c>
      <c r="B56" t="s">
        <v>23</v>
      </c>
      <c r="C56" t="s">
        <v>307</v>
      </c>
      <c r="D56" s="1">
        <v>46319</v>
      </c>
      <c r="E56" s="1" t="s">
        <v>583</v>
      </c>
      <c r="F56" s="1">
        <v>44494</v>
      </c>
      <c r="I56" s="6"/>
      <c r="L56" s="6"/>
    </row>
    <row r="57" spans="1:12" x14ac:dyDescent="0.2">
      <c r="A57" t="s">
        <v>315</v>
      </c>
      <c r="B57" t="s">
        <v>9</v>
      </c>
      <c r="C57" t="s">
        <v>316</v>
      </c>
      <c r="D57" s="1">
        <v>46319</v>
      </c>
      <c r="E57" s="1" t="s">
        <v>583</v>
      </c>
      <c r="F57" s="1">
        <v>44494</v>
      </c>
      <c r="I57" s="6"/>
      <c r="L57" s="6"/>
    </row>
    <row r="58" spans="1:12" x14ac:dyDescent="0.2">
      <c r="A58" t="s">
        <v>317</v>
      </c>
      <c r="B58" t="s">
        <v>23</v>
      </c>
      <c r="C58" t="s">
        <v>318</v>
      </c>
      <c r="D58" s="1">
        <v>46319</v>
      </c>
      <c r="E58" s="1" t="s">
        <v>583</v>
      </c>
      <c r="F58" s="1">
        <v>44484</v>
      </c>
      <c r="I58" s="6"/>
      <c r="L58" s="6"/>
    </row>
    <row r="59" spans="1:12" x14ac:dyDescent="0.2">
      <c r="A59" t="s">
        <v>321</v>
      </c>
      <c r="B59" t="s">
        <v>9</v>
      </c>
      <c r="C59" t="s">
        <v>322</v>
      </c>
      <c r="D59" s="1">
        <v>46319</v>
      </c>
      <c r="E59" s="1" t="s">
        <v>583</v>
      </c>
      <c r="F59" s="1">
        <v>44494</v>
      </c>
      <c r="I59" s="6"/>
      <c r="L59" s="6"/>
    </row>
    <row r="60" spans="1:12" x14ac:dyDescent="0.2">
      <c r="A60" t="s">
        <v>325</v>
      </c>
      <c r="B60" t="s">
        <v>23</v>
      </c>
      <c r="C60" t="s">
        <v>326</v>
      </c>
      <c r="D60" s="1">
        <v>46319</v>
      </c>
      <c r="E60" s="1" t="s">
        <v>583</v>
      </c>
      <c r="F60" s="1">
        <v>44494</v>
      </c>
      <c r="I60" s="6"/>
      <c r="L60" s="6"/>
    </row>
    <row r="61" spans="1:12" x14ac:dyDescent="0.2">
      <c r="A61" t="s">
        <v>333</v>
      </c>
      <c r="B61" t="s">
        <v>9</v>
      </c>
      <c r="C61" t="s">
        <v>334</v>
      </c>
      <c r="D61" s="1">
        <v>46319</v>
      </c>
      <c r="E61" s="1" t="s">
        <v>583</v>
      </c>
      <c r="F61" s="1">
        <v>44494</v>
      </c>
      <c r="I61" s="6"/>
      <c r="L61" s="6"/>
    </row>
    <row r="62" spans="1:12" x14ac:dyDescent="0.2">
      <c r="A62" t="s">
        <v>338</v>
      </c>
      <c r="B62" t="s">
        <v>23</v>
      </c>
      <c r="C62" t="s">
        <v>339</v>
      </c>
      <c r="D62" s="1">
        <v>46319</v>
      </c>
      <c r="E62" s="1" t="s">
        <v>583</v>
      </c>
      <c r="F62" s="1">
        <v>44494</v>
      </c>
      <c r="I62" s="6"/>
      <c r="L62" s="6"/>
    </row>
    <row r="63" spans="1:12" x14ac:dyDescent="0.2">
      <c r="A63" t="s">
        <v>340</v>
      </c>
      <c r="B63" t="s">
        <v>23</v>
      </c>
      <c r="C63" t="s">
        <v>341</v>
      </c>
      <c r="D63" s="1">
        <v>46319</v>
      </c>
      <c r="E63" s="1" t="s">
        <v>583</v>
      </c>
      <c r="F63" s="1">
        <v>44494</v>
      </c>
      <c r="I63" s="6"/>
      <c r="L63" s="6"/>
    </row>
    <row r="64" spans="1:12" x14ac:dyDescent="0.2">
      <c r="A64" t="s">
        <v>344</v>
      </c>
      <c r="B64" t="s">
        <v>23</v>
      </c>
      <c r="C64" t="s">
        <v>345</v>
      </c>
      <c r="D64" s="1">
        <v>46319</v>
      </c>
      <c r="E64" s="1" t="s">
        <v>583</v>
      </c>
      <c r="F64" s="1">
        <v>44494</v>
      </c>
      <c r="I64" s="6"/>
      <c r="L64" s="6"/>
    </row>
    <row r="65" spans="1:12" x14ac:dyDescent="0.2">
      <c r="A65" t="s">
        <v>354</v>
      </c>
      <c r="B65" t="s">
        <v>23</v>
      </c>
      <c r="C65" t="s">
        <v>355</v>
      </c>
      <c r="D65" s="1">
        <v>46319</v>
      </c>
      <c r="E65" s="1" t="s">
        <v>583</v>
      </c>
      <c r="F65" s="1">
        <v>44488</v>
      </c>
      <c r="I65" s="6"/>
      <c r="L65" s="6"/>
    </row>
    <row r="66" spans="1:12" x14ac:dyDescent="0.2">
      <c r="A66" t="s">
        <v>358</v>
      </c>
      <c r="B66" t="s">
        <v>9</v>
      </c>
      <c r="C66" t="s">
        <v>359</v>
      </c>
      <c r="D66" s="1">
        <v>46319</v>
      </c>
      <c r="E66" s="1" t="s">
        <v>583</v>
      </c>
      <c r="F66" s="1">
        <v>44494</v>
      </c>
      <c r="I66" s="6"/>
      <c r="L66" s="6"/>
    </row>
    <row r="67" spans="1:12" x14ac:dyDescent="0.2">
      <c r="A67" t="s">
        <v>364</v>
      </c>
      <c r="B67" t="s">
        <v>23</v>
      </c>
      <c r="C67" t="s">
        <v>365</v>
      </c>
      <c r="D67" s="1">
        <v>46319</v>
      </c>
      <c r="E67" s="1" t="s">
        <v>583</v>
      </c>
      <c r="F67" s="1">
        <v>44494</v>
      </c>
      <c r="I67" s="6"/>
      <c r="L67" s="6"/>
    </row>
    <row r="68" spans="1:12" x14ac:dyDescent="0.2">
      <c r="A68" t="s">
        <v>366</v>
      </c>
      <c r="B68" t="s">
        <v>23</v>
      </c>
      <c r="C68" t="s">
        <v>367</v>
      </c>
      <c r="D68" s="1">
        <v>46319</v>
      </c>
      <c r="E68" s="1" t="s">
        <v>583</v>
      </c>
      <c r="F68" s="1">
        <v>44494</v>
      </c>
      <c r="I68" s="6"/>
      <c r="L68" s="6"/>
    </row>
    <row r="69" spans="1:12" x14ac:dyDescent="0.2">
      <c r="A69" t="s">
        <v>371</v>
      </c>
      <c r="B69" t="s">
        <v>9</v>
      </c>
      <c r="C69" t="s">
        <v>372</v>
      </c>
      <c r="D69" s="1">
        <v>46319</v>
      </c>
      <c r="E69" s="1" t="s">
        <v>583</v>
      </c>
      <c r="F69" s="1">
        <v>44494</v>
      </c>
      <c r="I69" s="6"/>
      <c r="L69" s="6"/>
    </row>
    <row r="70" spans="1:12" x14ac:dyDescent="0.2">
      <c r="A70" t="s">
        <v>373</v>
      </c>
      <c r="B70" t="s">
        <v>9</v>
      </c>
      <c r="C70" t="s">
        <v>374</v>
      </c>
      <c r="D70" s="1">
        <v>46319</v>
      </c>
      <c r="E70" s="1" t="s">
        <v>583</v>
      </c>
      <c r="F70" s="1">
        <v>44494</v>
      </c>
      <c r="I70" s="6"/>
      <c r="L70" s="6"/>
    </row>
    <row r="71" spans="1:12" x14ac:dyDescent="0.2">
      <c r="A71" t="s">
        <v>377</v>
      </c>
      <c r="B71" t="s">
        <v>23</v>
      </c>
      <c r="C71" t="s">
        <v>378</v>
      </c>
      <c r="D71" s="1">
        <v>46319</v>
      </c>
      <c r="E71" s="1" t="s">
        <v>583</v>
      </c>
      <c r="F71" s="1">
        <v>44494</v>
      </c>
      <c r="I71" s="6"/>
      <c r="L71" s="6"/>
    </row>
    <row r="72" spans="1:12" x14ac:dyDescent="0.2">
      <c r="A72" t="s">
        <v>383</v>
      </c>
      <c r="B72" t="s">
        <v>23</v>
      </c>
      <c r="C72" t="s">
        <v>384</v>
      </c>
      <c r="D72" s="1">
        <v>46319</v>
      </c>
      <c r="E72" s="1" t="s">
        <v>583</v>
      </c>
      <c r="F72" s="1">
        <v>44488</v>
      </c>
      <c r="I72" s="6"/>
      <c r="L72" s="6"/>
    </row>
    <row r="73" spans="1:12" x14ac:dyDescent="0.2">
      <c r="A73" t="s">
        <v>387</v>
      </c>
      <c r="B73" t="s">
        <v>9</v>
      </c>
      <c r="C73" t="s">
        <v>388</v>
      </c>
      <c r="D73" s="1">
        <v>46319</v>
      </c>
      <c r="E73" s="1" t="s">
        <v>583</v>
      </c>
      <c r="F73" s="1">
        <v>44494</v>
      </c>
      <c r="I73" s="6"/>
      <c r="L73" s="6"/>
    </row>
    <row r="74" spans="1:12" x14ac:dyDescent="0.2">
      <c r="A74" t="s">
        <v>389</v>
      </c>
      <c r="B74" t="s">
        <v>9</v>
      </c>
      <c r="C74" t="s">
        <v>390</v>
      </c>
      <c r="D74" s="1">
        <v>46319</v>
      </c>
      <c r="E74" s="1" t="s">
        <v>583</v>
      </c>
      <c r="F74" s="1">
        <v>44494</v>
      </c>
      <c r="I74" s="6"/>
      <c r="L74" s="6"/>
    </row>
    <row r="75" spans="1:12" x14ac:dyDescent="0.2">
      <c r="A75" t="s">
        <v>418</v>
      </c>
      <c r="B75" t="s">
        <v>9</v>
      </c>
      <c r="C75" t="s">
        <v>419</v>
      </c>
      <c r="D75" s="1">
        <v>46319</v>
      </c>
      <c r="E75" s="1" t="s">
        <v>583</v>
      </c>
      <c r="F75" s="1">
        <v>44494</v>
      </c>
      <c r="I75" s="6"/>
      <c r="L75" s="6"/>
    </row>
    <row r="76" spans="1:12" x14ac:dyDescent="0.2">
      <c r="A76" t="s">
        <v>434</v>
      </c>
      <c r="B76" t="s">
        <v>23</v>
      </c>
      <c r="C76" t="s">
        <v>435</v>
      </c>
      <c r="D76" s="1">
        <v>46319</v>
      </c>
      <c r="E76" s="1" t="s">
        <v>583</v>
      </c>
      <c r="F76" s="1">
        <v>44494</v>
      </c>
      <c r="I76" s="6"/>
      <c r="L76" s="6"/>
    </row>
    <row r="77" spans="1:12" x14ac:dyDescent="0.2">
      <c r="A77" t="s">
        <v>438</v>
      </c>
      <c r="B77" t="s">
        <v>9</v>
      </c>
      <c r="C77" t="s">
        <v>439</v>
      </c>
      <c r="D77" s="1">
        <v>46319</v>
      </c>
      <c r="E77" s="1" t="s">
        <v>583</v>
      </c>
      <c r="F77" s="1">
        <v>44494</v>
      </c>
      <c r="I77" s="6"/>
      <c r="L77" s="6"/>
    </row>
    <row r="78" spans="1:12" x14ac:dyDescent="0.2">
      <c r="A78" t="s">
        <v>440</v>
      </c>
      <c r="B78" t="s">
        <v>9</v>
      </c>
      <c r="C78" t="s">
        <v>441</v>
      </c>
      <c r="D78" s="1">
        <v>46319</v>
      </c>
      <c r="E78" s="1" t="s">
        <v>583</v>
      </c>
      <c r="F78" s="1">
        <v>44494</v>
      </c>
      <c r="I78" s="6"/>
      <c r="L78" s="6"/>
    </row>
    <row r="79" spans="1:12" x14ac:dyDescent="0.2">
      <c r="A79" t="s">
        <v>446</v>
      </c>
      <c r="B79" t="s">
        <v>23</v>
      </c>
      <c r="C79" t="s">
        <v>447</v>
      </c>
      <c r="D79" s="1">
        <v>46319</v>
      </c>
      <c r="E79" s="1" t="s">
        <v>583</v>
      </c>
      <c r="F79" s="1">
        <v>44494</v>
      </c>
      <c r="I79" s="6"/>
      <c r="L79" s="6"/>
    </row>
    <row r="80" spans="1:12" x14ac:dyDescent="0.2">
      <c r="A80" t="s">
        <v>460</v>
      </c>
      <c r="B80" t="s">
        <v>23</v>
      </c>
      <c r="C80" t="s">
        <v>461</v>
      </c>
      <c r="D80" s="1">
        <v>46319</v>
      </c>
      <c r="E80" s="1" t="s">
        <v>583</v>
      </c>
      <c r="F80" s="1">
        <v>44494</v>
      </c>
      <c r="I80" s="6"/>
      <c r="L80" s="6"/>
    </row>
    <row r="81" spans="1:12" x14ac:dyDescent="0.2">
      <c r="A81" t="s">
        <v>462</v>
      </c>
      <c r="B81" t="s">
        <v>9</v>
      </c>
      <c r="C81" t="s">
        <v>463</v>
      </c>
      <c r="D81" s="1">
        <v>46319</v>
      </c>
      <c r="E81" s="1" t="s">
        <v>583</v>
      </c>
      <c r="F81" s="1">
        <v>44494</v>
      </c>
      <c r="I81" s="6"/>
      <c r="L81" s="6"/>
    </row>
    <row r="82" spans="1:12" x14ac:dyDescent="0.2">
      <c r="A82" t="s">
        <v>470</v>
      </c>
      <c r="B82" t="s">
        <v>23</v>
      </c>
      <c r="C82" t="s">
        <v>471</v>
      </c>
      <c r="D82" s="1">
        <v>46319</v>
      </c>
      <c r="E82" s="1" t="s">
        <v>583</v>
      </c>
      <c r="F82" s="1">
        <v>44494</v>
      </c>
      <c r="I82" s="6"/>
      <c r="L82" s="6"/>
    </row>
    <row r="83" spans="1:12" x14ac:dyDescent="0.2">
      <c r="A83" t="s">
        <v>472</v>
      </c>
      <c r="B83" t="s">
        <v>9</v>
      </c>
      <c r="C83" t="s">
        <v>473</v>
      </c>
      <c r="D83" s="1">
        <v>46319</v>
      </c>
      <c r="E83" s="1" t="s">
        <v>583</v>
      </c>
      <c r="F83" s="1">
        <v>44494</v>
      </c>
      <c r="I83" s="6"/>
      <c r="L83" s="6"/>
    </row>
    <row r="84" spans="1:12" x14ac:dyDescent="0.2">
      <c r="A84" t="s">
        <v>476</v>
      </c>
      <c r="B84" t="s">
        <v>9</v>
      </c>
      <c r="C84" t="s">
        <v>477</v>
      </c>
      <c r="D84" s="1">
        <v>46319</v>
      </c>
      <c r="E84" s="1" t="s">
        <v>583</v>
      </c>
      <c r="F84" s="1">
        <v>44494</v>
      </c>
      <c r="I84" s="6"/>
      <c r="L84" s="6"/>
    </row>
    <row r="85" spans="1:12" x14ac:dyDescent="0.2">
      <c r="A85" t="s">
        <v>486</v>
      </c>
      <c r="B85" t="s">
        <v>9</v>
      </c>
      <c r="C85" t="s">
        <v>487</v>
      </c>
      <c r="D85" s="1">
        <v>46319</v>
      </c>
      <c r="E85" s="1" t="s">
        <v>583</v>
      </c>
      <c r="F85" s="1">
        <v>44494</v>
      </c>
      <c r="I85" s="6"/>
      <c r="L85" s="6"/>
    </row>
    <row r="86" spans="1:12" x14ac:dyDescent="0.2">
      <c r="A86" t="s">
        <v>496</v>
      </c>
      <c r="B86" t="s">
        <v>9</v>
      </c>
      <c r="C86" t="s">
        <v>497</v>
      </c>
      <c r="D86" s="1">
        <v>46319</v>
      </c>
      <c r="E86" s="1" t="s">
        <v>583</v>
      </c>
      <c r="F86" s="1">
        <v>44494</v>
      </c>
      <c r="I86" s="6"/>
      <c r="L86" s="6"/>
    </row>
    <row r="87" spans="1:12" x14ac:dyDescent="0.2">
      <c r="A87" t="s">
        <v>510</v>
      </c>
      <c r="B87" t="s">
        <v>9</v>
      </c>
      <c r="C87" t="s">
        <v>511</v>
      </c>
      <c r="D87" s="1">
        <v>46319</v>
      </c>
      <c r="E87" s="1" t="s">
        <v>583</v>
      </c>
      <c r="F87" s="1">
        <v>44494</v>
      </c>
      <c r="I87" s="6"/>
      <c r="L87" s="6"/>
    </row>
    <row r="88" spans="1:12" x14ac:dyDescent="0.2">
      <c r="A88" t="s">
        <v>518</v>
      </c>
      <c r="B88" t="s">
        <v>23</v>
      </c>
      <c r="C88" t="s">
        <v>519</v>
      </c>
      <c r="D88" s="1">
        <v>46319</v>
      </c>
      <c r="E88" s="1" t="s">
        <v>583</v>
      </c>
      <c r="F88" s="1">
        <v>44494</v>
      </c>
      <c r="I88" s="6"/>
      <c r="L88" s="6"/>
    </row>
    <row r="89" spans="1:12" x14ac:dyDescent="0.2">
      <c r="A89" t="s">
        <v>522</v>
      </c>
      <c r="B89" t="s">
        <v>23</v>
      </c>
      <c r="C89" t="s">
        <v>523</v>
      </c>
      <c r="D89" s="1">
        <v>46319</v>
      </c>
      <c r="E89" s="1" t="s">
        <v>583</v>
      </c>
      <c r="F89" s="1">
        <v>44494</v>
      </c>
      <c r="I89" s="6"/>
      <c r="L89" s="6"/>
    </row>
    <row r="90" spans="1:12" x14ac:dyDescent="0.2">
      <c r="A90" t="s">
        <v>524</v>
      </c>
      <c r="B90" t="s">
        <v>23</v>
      </c>
      <c r="C90" t="s">
        <v>525</v>
      </c>
      <c r="D90" s="1">
        <v>46319</v>
      </c>
      <c r="E90" s="1" t="s">
        <v>583</v>
      </c>
      <c r="F90" s="1">
        <v>44484</v>
      </c>
      <c r="I90" s="6"/>
      <c r="L90" s="6"/>
    </row>
    <row r="91" spans="1:12" x14ac:dyDescent="0.2">
      <c r="A91" t="s">
        <v>529</v>
      </c>
      <c r="B91" t="s">
        <v>23</v>
      </c>
      <c r="C91" t="s">
        <v>530</v>
      </c>
      <c r="D91" s="1">
        <v>46319</v>
      </c>
      <c r="E91" s="1" t="s">
        <v>583</v>
      </c>
      <c r="F91" s="1">
        <v>44494</v>
      </c>
      <c r="I91" s="6"/>
      <c r="L91" s="6"/>
    </row>
    <row r="92" spans="1:12" x14ac:dyDescent="0.2">
      <c r="A92" t="s">
        <v>531</v>
      </c>
      <c r="B92" t="s">
        <v>23</v>
      </c>
      <c r="C92" t="s">
        <v>532</v>
      </c>
      <c r="D92" s="1">
        <v>46319</v>
      </c>
      <c r="E92" s="1" t="s">
        <v>583</v>
      </c>
      <c r="F92" s="1">
        <v>44494</v>
      </c>
      <c r="I92" s="6"/>
      <c r="L92" s="6"/>
    </row>
    <row r="93" spans="1:12" x14ac:dyDescent="0.2">
      <c r="A93" t="s">
        <v>538</v>
      </c>
      <c r="B93" t="s">
        <v>9</v>
      </c>
      <c r="C93" t="s">
        <v>539</v>
      </c>
      <c r="D93" s="1">
        <v>46319</v>
      </c>
      <c r="E93" s="1" t="s">
        <v>583</v>
      </c>
      <c r="F93" s="1">
        <v>44494</v>
      </c>
      <c r="I93" s="6"/>
      <c r="L93" s="6"/>
    </row>
    <row r="94" spans="1:12" x14ac:dyDescent="0.2">
      <c r="A94" t="s">
        <v>556</v>
      </c>
      <c r="B94" t="s">
        <v>23</v>
      </c>
      <c r="C94" t="s">
        <v>557</v>
      </c>
      <c r="D94" s="1">
        <v>46319</v>
      </c>
      <c r="E94" s="1" t="s">
        <v>583</v>
      </c>
      <c r="F94" s="1">
        <v>44494</v>
      </c>
      <c r="I94" s="6"/>
      <c r="L94" s="6"/>
    </row>
    <row r="95" spans="1:12" x14ac:dyDescent="0.2">
      <c r="A95" t="s">
        <v>562</v>
      </c>
      <c r="B95" t="s">
        <v>9</v>
      </c>
      <c r="C95" t="s">
        <v>563</v>
      </c>
      <c r="D95" s="1">
        <v>46319</v>
      </c>
      <c r="E95" s="1" t="s">
        <v>583</v>
      </c>
      <c r="F95" s="1">
        <v>44494</v>
      </c>
      <c r="I95" s="6"/>
      <c r="L95" s="6"/>
    </row>
    <row r="96" spans="1:12" x14ac:dyDescent="0.2">
      <c r="A96" t="s">
        <v>566</v>
      </c>
      <c r="B96" t="s">
        <v>9</v>
      </c>
      <c r="C96" t="s">
        <v>567</v>
      </c>
      <c r="D96" s="1">
        <v>46319</v>
      </c>
      <c r="E96" s="1" t="s">
        <v>583</v>
      </c>
      <c r="F96" s="1">
        <v>44494</v>
      </c>
      <c r="I96" s="6"/>
      <c r="L96" s="6"/>
    </row>
    <row r="97" spans="1:12" x14ac:dyDescent="0.2">
      <c r="A97" t="s">
        <v>399</v>
      </c>
      <c r="B97" t="s">
        <v>9</v>
      </c>
      <c r="C97" t="s">
        <v>400</v>
      </c>
      <c r="D97" s="1">
        <v>46367</v>
      </c>
      <c r="E97" s="1" t="s">
        <v>583</v>
      </c>
      <c r="F97" s="1">
        <v>45999</v>
      </c>
      <c r="I97" s="6"/>
      <c r="L97" s="6"/>
    </row>
    <row r="98" spans="1:12" x14ac:dyDescent="0.2">
      <c r="A98" t="s">
        <v>550</v>
      </c>
      <c r="B98" t="s">
        <v>9</v>
      </c>
      <c r="C98" t="s">
        <v>551</v>
      </c>
      <c r="D98" s="1">
        <v>46367</v>
      </c>
      <c r="E98" s="1" t="s">
        <v>583</v>
      </c>
      <c r="F98" s="1">
        <v>45999</v>
      </c>
      <c r="I98" s="6"/>
      <c r="L98" s="6"/>
    </row>
    <row r="99" spans="1:12" x14ac:dyDescent="0.2">
      <c r="A99" t="s">
        <v>552</v>
      </c>
      <c r="B99" t="s">
        <v>23</v>
      </c>
      <c r="C99" t="s">
        <v>553</v>
      </c>
      <c r="D99" s="1">
        <v>46377</v>
      </c>
      <c r="E99" s="1" t="s">
        <v>583</v>
      </c>
      <c r="F99" s="1">
        <v>44432</v>
      </c>
      <c r="I99" s="6"/>
      <c r="L99" s="6"/>
    </row>
    <row r="100" spans="1:12" x14ac:dyDescent="0.2">
      <c r="A100" t="s">
        <v>196</v>
      </c>
      <c r="B100" t="s">
        <v>23</v>
      </c>
      <c r="C100" t="s">
        <v>197</v>
      </c>
      <c r="D100" s="1">
        <v>46379</v>
      </c>
      <c r="E100" s="1" t="s">
        <v>583</v>
      </c>
      <c r="F100" s="1">
        <v>44434</v>
      </c>
      <c r="I100" s="6"/>
      <c r="L100" s="6"/>
    </row>
    <row r="101" spans="1:12" x14ac:dyDescent="0.2">
      <c r="A101" t="s">
        <v>27</v>
      </c>
      <c r="B101" t="s">
        <v>6</v>
      </c>
      <c r="C101" t="s">
        <v>28</v>
      </c>
      <c r="D101" s="1">
        <v>46393</v>
      </c>
      <c r="E101" s="1" t="s">
        <v>584</v>
      </c>
      <c r="F101" s="1">
        <v>44568</v>
      </c>
    </row>
    <row r="102" spans="1:12" x14ac:dyDescent="0.2">
      <c r="A102" t="s">
        <v>192</v>
      </c>
      <c r="B102" t="s">
        <v>6</v>
      </c>
      <c r="C102" t="s">
        <v>193</v>
      </c>
      <c r="D102" s="1">
        <v>46393</v>
      </c>
      <c r="E102" s="1" t="s">
        <v>584</v>
      </c>
      <c r="F102" s="1">
        <v>44568</v>
      </c>
    </row>
    <row r="103" spans="1:12" x14ac:dyDescent="0.2">
      <c r="A103" t="s">
        <v>142</v>
      </c>
      <c r="B103" t="s">
        <v>6</v>
      </c>
      <c r="C103" t="s">
        <v>143</v>
      </c>
      <c r="D103" s="1">
        <v>46415</v>
      </c>
      <c r="E103" s="1" t="s">
        <v>584</v>
      </c>
      <c r="F103" s="1">
        <v>44623</v>
      </c>
    </row>
    <row r="104" spans="1:12" x14ac:dyDescent="0.2">
      <c r="A104" t="s">
        <v>198</v>
      </c>
      <c r="B104" t="s">
        <v>6</v>
      </c>
      <c r="C104" t="s">
        <v>199</v>
      </c>
      <c r="D104" s="1">
        <v>46415</v>
      </c>
      <c r="E104" s="1" t="s">
        <v>584</v>
      </c>
      <c r="F104" s="1">
        <v>44623</v>
      </c>
    </row>
    <row r="105" spans="1:12" x14ac:dyDescent="0.2">
      <c r="A105" t="s">
        <v>39</v>
      </c>
      <c r="B105" t="s">
        <v>6</v>
      </c>
      <c r="C105" t="s">
        <v>40</v>
      </c>
      <c r="D105" s="1">
        <v>46417</v>
      </c>
      <c r="E105" s="1" t="s">
        <v>584</v>
      </c>
      <c r="F105" s="1">
        <v>44651</v>
      </c>
    </row>
    <row r="106" spans="1:12" x14ac:dyDescent="0.2">
      <c r="A106" t="s">
        <v>52</v>
      </c>
      <c r="B106" t="s">
        <v>6</v>
      </c>
      <c r="C106" t="s">
        <v>53</v>
      </c>
      <c r="D106" s="1">
        <v>46417</v>
      </c>
      <c r="E106" s="1" t="s">
        <v>584</v>
      </c>
      <c r="F106" s="1">
        <v>44749</v>
      </c>
    </row>
    <row r="107" spans="1:12" x14ac:dyDescent="0.2">
      <c r="A107" t="s">
        <v>90</v>
      </c>
      <c r="B107" t="s">
        <v>6</v>
      </c>
      <c r="C107" t="s">
        <v>91</v>
      </c>
      <c r="D107" s="1">
        <v>46417</v>
      </c>
      <c r="E107" s="1" t="s">
        <v>584</v>
      </c>
      <c r="F107" s="1">
        <v>44651</v>
      </c>
    </row>
    <row r="108" spans="1:12" x14ac:dyDescent="0.2">
      <c r="A108" t="s">
        <v>174</v>
      </c>
      <c r="B108" t="s">
        <v>6</v>
      </c>
      <c r="C108" t="s">
        <v>175</v>
      </c>
      <c r="D108" s="1">
        <v>46417</v>
      </c>
      <c r="E108" s="1" t="s">
        <v>584</v>
      </c>
      <c r="F108" s="1">
        <v>44749</v>
      </c>
    </row>
    <row r="109" spans="1:12" x14ac:dyDescent="0.2">
      <c r="A109" t="s">
        <v>282</v>
      </c>
      <c r="B109" t="s">
        <v>6</v>
      </c>
      <c r="C109" t="s">
        <v>283</v>
      </c>
      <c r="D109" s="1">
        <v>46417</v>
      </c>
      <c r="E109" s="1" t="s">
        <v>584</v>
      </c>
      <c r="F109" s="1">
        <v>44651</v>
      </c>
    </row>
    <row r="110" spans="1:12" x14ac:dyDescent="0.2">
      <c r="A110" t="s">
        <v>304</v>
      </c>
      <c r="B110" t="s">
        <v>6</v>
      </c>
      <c r="C110" t="s">
        <v>305</v>
      </c>
      <c r="D110" s="1">
        <v>46417</v>
      </c>
      <c r="E110" s="1" t="s">
        <v>584</v>
      </c>
      <c r="F110" s="1">
        <v>44641</v>
      </c>
    </row>
    <row r="111" spans="1:12" x14ac:dyDescent="0.2">
      <c r="A111" t="s">
        <v>319</v>
      </c>
      <c r="B111" t="s">
        <v>6</v>
      </c>
      <c r="C111" t="s">
        <v>320</v>
      </c>
      <c r="D111" s="1">
        <v>46417</v>
      </c>
      <c r="E111" s="1" t="s">
        <v>584</v>
      </c>
      <c r="F111" s="1">
        <v>44641</v>
      </c>
    </row>
    <row r="112" spans="1:12" x14ac:dyDescent="0.2">
      <c r="A112" t="s">
        <v>348</v>
      </c>
      <c r="B112" t="s">
        <v>6</v>
      </c>
      <c r="C112" t="s">
        <v>349</v>
      </c>
      <c r="D112" s="1">
        <v>46417</v>
      </c>
      <c r="E112" s="1" t="s">
        <v>584</v>
      </c>
      <c r="F112" s="1">
        <v>44641</v>
      </c>
    </row>
    <row r="113" spans="1:6" x14ac:dyDescent="0.2">
      <c r="A113" t="s">
        <v>381</v>
      </c>
      <c r="B113" t="s">
        <v>6</v>
      </c>
      <c r="C113" t="s">
        <v>382</v>
      </c>
      <c r="D113" s="1">
        <v>46417</v>
      </c>
      <c r="E113" s="1" t="s">
        <v>584</v>
      </c>
      <c r="F113" s="1">
        <v>44651</v>
      </c>
    </row>
    <row r="114" spans="1:6" x14ac:dyDescent="0.2">
      <c r="A114" t="s">
        <v>458</v>
      </c>
      <c r="B114" t="s">
        <v>6</v>
      </c>
      <c r="C114" t="s">
        <v>459</v>
      </c>
      <c r="D114" s="1">
        <v>46417</v>
      </c>
      <c r="E114" s="1" t="s">
        <v>584</v>
      </c>
      <c r="F114" s="1">
        <v>44641</v>
      </c>
    </row>
    <row r="115" spans="1:6" x14ac:dyDescent="0.2">
      <c r="A115" t="s">
        <v>15</v>
      </c>
      <c r="B115" t="s">
        <v>16</v>
      </c>
      <c r="C115" t="s">
        <v>17</v>
      </c>
      <c r="D115" s="1">
        <v>46425</v>
      </c>
      <c r="E115" s="1" t="s">
        <v>584</v>
      </c>
      <c r="F115" s="1">
        <v>45287</v>
      </c>
    </row>
    <row r="116" spans="1:6" x14ac:dyDescent="0.2">
      <c r="A116" t="s">
        <v>148</v>
      </c>
      <c r="B116" t="s">
        <v>16</v>
      </c>
      <c r="C116" t="s">
        <v>149</v>
      </c>
      <c r="D116" s="1">
        <v>46425</v>
      </c>
      <c r="E116" s="1" t="s">
        <v>584</v>
      </c>
      <c r="F116" s="1">
        <v>45287</v>
      </c>
    </row>
    <row r="117" spans="1:6" x14ac:dyDescent="0.2">
      <c r="A117" t="s">
        <v>25</v>
      </c>
      <c r="B117" t="s">
        <v>6</v>
      </c>
      <c r="C117" t="s">
        <v>26</v>
      </c>
      <c r="D117" s="1">
        <v>46435</v>
      </c>
      <c r="E117" s="1" t="s">
        <v>584</v>
      </c>
      <c r="F117" s="1">
        <v>44747</v>
      </c>
    </row>
    <row r="118" spans="1:6" x14ac:dyDescent="0.2">
      <c r="A118" t="s">
        <v>73</v>
      </c>
      <c r="B118" t="s">
        <v>6</v>
      </c>
      <c r="C118" t="s">
        <v>74</v>
      </c>
      <c r="D118" s="1">
        <v>46435</v>
      </c>
      <c r="E118" s="1" t="s">
        <v>584</v>
      </c>
      <c r="F118" s="1">
        <v>44643</v>
      </c>
    </row>
    <row r="119" spans="1:6" x14ac:dyDescent="0.2">
      <c r="A119" t="s">
        <v>168</v>
      </c>
      <c r="B119" t="s">
        <v>6</v>
      </c>
      <c r="C119" t="s">
        <v>169</v>
      </c>
      <c r="D119" s="1">
        <v>46435</v>
      </c>
      <c r="E119" s="1" t="s">
        <v>584</v>
      </c>
      <c r="F119" s="1">
        <v>44643</v>
      </c>
    </row>
    <row r="120" spans="1:6" x14ac:dyDescent="0.2">
      <c r="A120" t="s">
        <v>226</v>
      </c>
      <c r="B120" t="s">
        <v>6</v>
      </c>
      <c r="C120" t="s">
        <v>227</v>
      </c>
      <c r="D120" s="1">
        <v>46435</v>
      </c>
      <c r="E120" s="1" t="s">
        <v>584</v>
      </c>
      <c r="F120" s="1">
        <v>44718</v>
      </c>
    </row>
    <row r="121" spans="1:6" x14ac:dyDescent="0.2">
      <c r="A121" t="s">
        <v>247</v>
      </c>
      <c r="B121" t="s">
        <v>6</v>
      </c>
      <c r="C121" t="s">
        <v>248</v>
      </c>
      <c r="D121" s="1">
        <v>46435</v>
      </c>
      <c r="E121" s="1" t="s">
        <v>584</v>
      </c>
      <c r="F121" s="1">
        <v>44645</v>
      </c>
    </row>
    <row r="122" spans="1:6" x14ac:dyDescent="0.2">
      <c r="A122" t="s">
        <v>294</v>
      </c>
      <c r="B122" t="s">
        <v>6</v>
      </c>
      <c r="C122" t="s">
        <v>295</v>
      </c>
      <c r="D122" s="1">
        <v>46435</v>
      </c>
      <c r="E122" s="1" t="s">
        <v>584</v>
      </c>
      <c r="F122" s="1">
        <v>44645</v>
      </c>
    </row>
    <row r="123" spans="1:6" x14ac:dyDescent="0.2">
      <c r="A123" t="s">
        <v>397</v>
      </c>
      <c r="B123" t="s">
        <v>6</v>
      </c>
      <c r="C123" t="s">
        <v>398</v>
      </c>
      <c r="D123" s="1">
        <v>46435</v>
      </c>
      <c r="E123" s="1" t="s">
        <v>584</v>
      </c>
      <c r="F123" s="1">
        <v>44718</v>
      </c>
    </row>
    <row r="124" spans="1:6" x14ac:dyDescent="0.2">
      <c r="A124" t="s">
        <v>464</v>
      </c>
      <c r="B124" t="s">
        <v>6</v>
      </c>
      <c r="C124" t="s">
        <v>465</v>
      </c>
      <c r="D124" s="1">
        <v>46435</v>
      </c>
      <c r="E124" s="1" t="s">
        <v>584</v>
      </c>
      <c r="F124" s="1">
        <v>44747</v>
      </c>
    </row>
    <row r="125" spans="1:6" x14ac:dyDescent="0.2">
      <c r="A125" t="s">
        <v>474</v>
      </c>
      <c r="B125" t="s">
        <v>6</v>
      </c>
      <c r="C125" t="s">
        <v>475</v>
      </c>
      <c r="D125" s="1">
        <v>46435</v>
      </c>
      <c r="E125" s="1" t="s">
        <v>584</v>
      </c>
      <c r="F125" s="1">
        <v>44718</v>
      </c>
    </row>
    <row r="126" spans="1:6" x14ac:dyDescent="0.2">
      <c r="A126" t="s">
        <v>480</v>
      </c>
      <c r="B126" t="s">
        <v>6</v>
      </c>
      <c r="C126" t="s">
        <v>481</v>
      </c>
      <c r="D126" s="1">
        <v>46435</v>
      </c>
      <c r="E126" s="1" t="s">
        <v>584</v>
      </c>
      <c r="F126" s="1">
        <v>44718</v>
      </c>
    </row>
    <row r="127" spans="1:6" x14ac:dyDescent="0.2">
      <c r="A127" t="s">
        <v>83</v>
      </c>
      <c r="B127" t="s">
        <v>6</v>
      </c>
      <c r="C127" t="s">
        <v>84</v>
      </c>
      <c r="D127" s="1">
        <v>46436</v>
      </c>
      <c r="E127" s="1" t="s">
        <v>584</v>
      </c>
      <c r="F127" s="1">
        <v>44747</v>
      </c>
    </row>
    <row r="128" spans="1:6" x14ac:dyDescent="0.2">
      <c r="A128" t="s">
        <v>542</v>
      </c>
      <c r="B128" t="s">
        <v>6</v>
      </c>
      <c r="C128" t="s">
        <v>543</v>
      </c>
      <c r="D128" s="1">
        <v>46436</v>
      </c>
      <c r="E128" s="1" t="s">
        <v>584</v>
      </c>
      <c r="F128" s="1">
        <v>44747</v>
      </c>
    </row>
    <row r="129" spans="1:6" x14ac:dyDescent="0.2">
      <c r="A129" t="s">
        <v>5</v>
      </c>
      <c r="B129" t="s">
        <v>6</v>
      </c>
      <c r="C129" t="s">
        <v>7</v>
      </c>
      <c r="D129" s="1">
        <v>46438</v>
      </c>
      <c r="E129" s="1" t="s">
        <v>584</v>
      </c>
      <c r="F129" s="1">
        <v>44635</v>
      </c>
    </row>
    <row r="130" spans="1:6" x14ac:dyDescent="0.2">
      <c r="A130" t="s">
        <v>121</v>
      </c>
      <c r="B130" t="s">
        <v>6</v>
      </c>
      <c r="C130" t="s">
        <v>122</v>
      </c>
      <c r="D130" s="1">
        <v>46438</v>
      </c>
      <c r="E130" s="1" t="s">
        <v>584</v>
      </c>
      <c r="F130" s="1">
        <v>44739</v>
      </c>
    </row>
    <row r="131" spans="1:6" x14ac:dyDescent="0.2">
      <c r="A131" t="s">
        <v>152</v>
      </c>
      <c r="B131" t="s">
        <v>6</v>
      </c>
      <c r="C131" t="s">
        <v>153</v>
      </c>
      <c r="D131" s="1">
        <v>46438</v>
      </c>
      <c r="E131" s="1" t="s">
        <v>584</v>
      </c>
      <c r="F131" s="1">
        <v>44686</v>
      </c>
    </row>
    <row r="132" spans="1:6" x14ac:dyDescent="0.2">
      <c r="A132" t="s">
        <v>190</v>
      </c>
      <c r="B132" t="s">
        <v>6</v>
      </c>
      <c r="C132" t="s">
        <v>191</v>
      </c>
      <c r="D132" s="1">
        <v>46438</v>
      </c>
      <c r="E132" s="1" t="s">
        <v>584</v>
      </c>
      <c r="F132" s="1">
        <v>44635</v>
      </c>
    </row>
    <row r="133" spans="1:6" x14ac:dyDescent="0.2">
      <c r="A133" t="s">
        <v>243</v>
      </c>
      <c r="B133" t="s">
        <v>6</v>
      </c>
      <c r="C133" t="s">
        <v>244</v>
      </c>
      <c r="D133" s="1">
        <v>46438</v>
      </c>
      <c r="E133" s="1" t="s">
        <v>584</v>
      </c>
      <c r="F133" s="1">
        <v>44686</v>
      </c>
    </row>
    <row r="134" spans="1:6" x14ac:dyDescent="0.2">
      <c r="A134" t="s">
        <v>253</v>
      </c>
      <c r="B134" t="s">
        <v>6</v>
      </c>
      <c r="C134" t="s">
        <v>254</v>
      </c>
      <c r="D134" s="1">
        <v>46438</v>
      </c>
      <c r="E134" s="1" t="s">
        <v>584</v>
      </c>
      <c r="F134" s="1">
        <v>44739</v>
      </c>
    </row>
    <row r="135" spans="1:6" x14ac:dyDescent="0.2">
      <c r="A135" t="s">
        <v>278</v>
      </c>
      <c r="B135" t="s">
        <v>6</v>
      </c>
      <c r="C135" t="s">
        <v>279</v>
      </c>
      <c r="D135" s="1">
        <v>46438</v>
      </c>
      <c r="E135" s="1" t="s">
        <v>584</v>
      </c>
      <c r="F135" s="1">
        <v>44641</v>
      </c>
    </row>
    <row r="136" spans="1:6" x14ac:dyDescent="0.2">
      <c r="A136" t="s">
        <v>290</v>
      </c>
      <c r="B136" t="s">
        <v>6</v>
      </c>
      <c r="C136" t="s">
        <v>291</v>
      </c>
      <c r="D136" s="1">
        <v>46438</v>
      </c>
      <c r="E136" s="1" t="s">
        <v>584</v>
      </c>
      <c r="F136" s="1">
        <v>44676</v>
      </c>
    </row>
    <row r="137" spans="1:6" x14ac:dyDescent="0.2">
      <c r="A137" t="s">
        <v>323</v>
      </c>
      <c r="B137" t="s">
        <v>6</v>
      </c>
      <c r="C137" t="s">
        <v>324</v>
      </c>
      <c r="D137" s="1">
        <v>46438</v>
      </c>
      <c r="E137" s="1" t="s">
        <v>584</v>
      </c>
      <c r="F137" s="1">
        <v>44673</v>
      </c>
    </row>
    <row r="138" spans="1:6" x14ac:dyDescent="0.2">
      <c r="A138" t="s">
        <v>406</v>
      </c>
      <c r="B138" t="s">
        <v>6</v>
      </c>
      <c r="C138" t="s">
        <v>407</v>
      </c>
      <c r="D138" s="1">
        <v>46438</v>
      </c>
      <c r="E138" s="1" t="s">
        <v>584</v>
      </c>
      <c r="F138" s="1">
        <v>44676</v>
      </c>
    </row>
    <row r="139" spans="1:6" x14ac:dyDescent="0.2">
      <c r="A139" t="s">
        <v>442</v>
      </c>
      <c r="B139" t="s">
        <v>6</v>
      </c>
      <c r="C139" t="s">
        <v>443</v>
      </c>
      <c r="D139" s="1">
        <v>46438</v>
      </c>
      <c r="E139" s="1" t="s">
        <v>584</v>
      </c>
      <c r="F139" s="1">
        <v>44630</v>
      </c>
    </row>
    <row r="140" spans="1:6" x14ac:dyDescent="0.2">
      <c r="A140" t="s">
        <v>468</v>
      </c>
      <c r="B140" t="s">
        <v>6</v>
      </c>
      <c r="C140" t="s">
        <v>469</v>
      </c>
      <c r="D140" s="1">
        <v>46438</v>
      </c>
      <c r="E140" s="1" t="s">
        <v>584</v>
      </c>
      <c r="F140" s="1">
        <v>44673</v>
      </c>
    </row>
    <row r="141" spans="1:6" x14ac:dyDescent="0.2">
      <c r="A141" t="s">
        <v>488</v>
      </c>
      <c r="B141" t="s">
        <v>6</v>
      </c>
      <c r="C141" t="s">
        <v>489</v>
      </c>
      <c r="D141" s="1">
        <v>46438</v>
      </c>
      <c r="E141" s="1" t="s">
        <v>584</v>
      </c>
      <c r="F141" s="1">
        <v>44641</v>
      </c>
    </row>
    <row r="142" spans="1:6" x14ac:dyDescent="0.2">
      <c r="A142" t="s">
        <v>546</v>
      </c>
      <c r="B142" t="s">
        <v>6</v>
      </c>
      <c r="C142" t="s">
        <v>547</v>
      </c>
      <c r="D142" s="1">
        <v>46438</v>
      </c>
      <c r="E142" s="1" t="s">
        <v>584</v>
      </c>
      <c r="F142" s="1">
        <v>44630</v>
      </c>
    </row>
    <row r="143" spans="1:6" x14ac:dyDescent="0.2">
      <c r="A143" t="s">
        <v>140</v>
      </c>
      <c r="B143" t="s">
        <v>136</v>
      </c>
      <c r="C143" t="s">
        <v>141</v>
      </c>
      <c r="D143" s="1">
        <v>46466</v>
      </c>
      <c r="E143" s="1" t="s">
        <v>584</v>
      </c>
      <c r="F143" s="1">
        <v>44641</v>
      </c>
    </row>
    <row r="144" spans="1:6" x14ac:dyDescent="0.2">
      <c r="A144" t="s">
        <v>393</v>
      </c>
      <c r="B144" t="s">
        <v>136</v>
      </c>
      <c r="C144" t="s">
        <v>394</v>
      </c>
      <c r="D144" s="1">
        <v>46466</v>
      </c>
      <c r="E144" s="1" t="s">
        <v>584</v>
      </c>
      <c r="F144" s="1">
        <v>44641</v>
      </c>
    </row>
    <row r="145" spans="1:6" x14ac:dyDescent="0.2">
      <c r="A145" t="s">
        <v>115</v>
      </c>
      <c r="B145" t="s">
        <v>23</v>
      </c>
      <c r="C145" t="s">
        <v>116</v>
      </c>
      <c r="D145" s="1">
        <v>46469</v>
      </c>
      <c r="E145" s="1" t="s">
        <v>584</v>
      </c>
      <c r="F145" s="1">
        <v>44488</v>
      </c>
    </row>
    <row r="146" spans="1:6" x14ac:dyDescent="0.2">
      <c r="A146" t="s">
        <v>422</v>
      </c>
      <c r="B146" t="s">
        <v>23</v>
      </c>
      <c r="C146" t="s">
        <v>423</v>
      </c>
      <c r="D146" s="1">
        <v>46469</v>
      </c>
      <c r="E146" s="1" t="s">
        <v>584</v>
      </c>
      <c r="F146" s="1">
        <v>44488</v>
      </c>
    </row>
    <row r="147" spans="1:6" x14ac:dyDescent="0.2">
      <c r="A147" t="s">
        <v>273</v>
      </c>
      <c r="B147" t="s">
        <v>136</v>
      </c>
      <c r="C147" t="s">
        <v>274</v>
      </c>
      <c r="D147" s="1">
        <v>46476</v>
      </c>
      <c r="E147" s="1" t="s">
        <v>584</v>
      </c>
      <c r="F147" s="1">
        <v>44651</v>
      </c>
    </row>
    <row r="148" spans="1:6" x14ac:dyDescent="0.2">
      <c r="A148" t="s">
        <v>410</v>
      </c>
      <c r="B148" t="s">
        <v>136</v>
      </c>
      <c r="C148" t="s">
        <v>411</v>
      </c>
      <c r="D148" s="1">
        <v>46476</v>
      </c>
      <c r="E148" s="1" t="s">
        <v>584</v>
      </c>
      <c r="F148" s="1">
        <v>44651</v>
      </c>
    </row>
    <row r="149" spans="1:6" x14ac:dyDescent="0.2">
      <c r="A149" t="s">
        <v>432</v>
      </c>
      <c r="B149" t="s">
        <v>136</v>
      </c>
      <c r="C149" t="s">
        <v>433</v>
      </c>
      <c r="D149" s="1">
        <v>46476</v>
      </c>
      <c r="E149" s="1" t="s">
        <v>584</v>
      </c>
      <c r="F149" s="1">
        <v>44651</v>
      </c>
    </row>
    <row r="150" spans="1:6" x14ac:dyDescent="0.2">
      <c r="A150" t="s">
        <v>536</v>
      </c>
      <c r="B150" t="s">
        <v>136</v>
      </c>
      <c r="C150" t="s">
        <v>537</v>
      </c>
      <c r="D150" s="1">
        <v>46476</v>
      </c>
      <c r="E150" s="1" t="s">
        <v>584</v>
      </c>
      <c r="F150" s="1">
        <v>44651</v>
      </c>
    </row>
    <row r="151" spans="1:6" x14ac:dyDescent="0.2">
      <c r="A151" t="s">
        <v>135</v>
      </c>
      <c r="B151" t="s">
        <v>136</v>
      </c>
      <c r="C151" t="s">
        <v>137</v>
      </c>
      <c r="D151" s="1">
        <v>46521</v>
      </c>
      <c r="E151" s="1" t="s">
        <v>585</v>
      </c>
      <c r="F151" s="1">
        <v>45426</v>
      </c>
    </row>
    <row r="152" spans="1:6" x14ac:dyDescent="0.2">
      <c r="A152" t="s">
        <v>138</v>
      </c>
      <c r="B152" t="s">
        <v>9</v>
      </c>
      <c r="C152" t="s">
        <v>139</v>
      </c>
      <c r="D152" s="1">
        <v>46521</v>
      </c>
      <c r="E152" s="1" t="s">
        <v>585</v>
      </c>
      <c r="F152" s="1">
        <v>45426</v>
      </c>
    </row>
    <row r="153" spans="1:6" x14ac:dyDescent="0.2">
      <c r="A153" t="s">
        <v>255</v>
      </c>
      <c r="B153" t="s">
        <v>136</v>
      </c>
      <c r="C153" t="s">
        <v>256</v>
      </c>
      <c r="D153" s="1">
        <v>46521</v>
      </c>
      <c r="E153" s="1" t="s">
        <v>585</v>
      </c>
      <c r="F153" s="1">
        <v>45426</v>
      </c>
    </row>
    <row r="154" spans="1:6" x14ac:dyDescent="0.2">
      <c r="A154" t="s">
        <v>514</v>
      </c>
      <c r="B154" t="s">
        <v>9</v>
      </c>
      <c r="C154" t="s">
        <v>515</v>
      </c>
      <c r="D154" s="1">
        <v>46521</v>
      </c>
      <c r="E154" s="1" t="s">
        <v>585</v>
      </c>
      <c r="F154" s="1">
        <v>45426</v>
      </c>
    </row>
    <row r="155" spans="1:6" x14ac:dyDescent="0.2">
      <c r="A155" t="s">
        <v>352</v>
      </c>
      <c r="B155" t="s">
        <v>9</v>
      </c>
      <c r="C155" t="s">
        <v>353</v>
      </c>
      <c r="D155" s="1">
        <v>46636</v>
      </c>
      <c r="E155" s="1" t="s">
        <v>586</v>
      </c>
      <c r="F155" s="1">
        <v>45541</v>
      </c>
    </row>
    <row r="156" spans="1:6" x14ac:dyDescent="0.2">
      <c r="A156" t="s">
        <v>362</v>
      </c>
      <c r="B156" t="s">
        <v>9</v>
      </c>
      <c r="C156" t="s">
        <v>363</v>
      </c>
      <c r="D156" s="1">
        <v>46636</v>
      </c>
      <c r="E156" s="1" t="s">
        <v>586</v>
      </c>
      <c r="F156" s="1">
        <v>45541</v>
      </c>
    </row>
    <row r="157" spans="1:6" x14ac:dyDescent="0.2">
      <c r="A157" t="s">
        <v>92</v>
      </c>
      <c r="B157" t="s">
        <v>86</v>
      </c>
      <c r="C157" t="s">
        <v>93</v>
      </c>
      <c r="D157" s="1">
        <v>46646</v>
      </c>
      <c r="E157" s="1" t="s">
        <v>586</v>
      </c>
      <c r="F157" s="1">
        <v>45551</v>
      </c>
    </row>
    <row r="158" spans="1:6" x14ac:dyDescent="0.2">
      <c r="A158" t="s">
        <v>133</v>
      </c>
      <c r="B158" t="s">
        <v>61</v>
      </c>
      <c r="C158" t="s">
        <v>134</v>
      </c>
      <c r="D158" s="1">
        <v>46646</v>
      </c>
      <c r="E158" s="1" t="s">
        <v>586</v>
      </c>
      <c r="F158" s="1">
        <v>45551</v>
      </c>
    </row>
    <row r="159" spans="1:6" x14ac:dyDescent="0.2">
      <c r="A159" t="s">
        <v>144</v>
      </c>
      <c r="B159" t="s">
        <v>86</v>
      </c>
      <c r="C159" t="s">
        <v>145</v>
      </c>
      <c r="D159" s="1">
        <v>46646</v>
      </c>
      <c r="E159" s="1" t="s">
        <v>586</v>
      </c>
      <c r="F159" s="1">
        <v>45551</v>
      </c>
    </row>
    <row r="160" spans="1:6" x14ac:dyDescent="0.2">
      <c r="A160" t="s">
        <v>204</v>
      </c>
      <c r="B160" t="s">
        <v>61</v>
      </c>
      <c r="C160" t="s">
        <v>205</v>
      </c>
      <c r="D160" s="1">
        <v>46646</v>
      </c>
      <c r="E160" s="1" t="s">
        <v>586</v>
      </c>
      <c r="F160" s="1">
        <v>45551</v>
      </c>
    </row>
    <row r="161" spans="1:6" x14ac:dyDescent="0.2">
      <c r="A161" t="s">
        <v>60</v>
      </c>
      <c r="B161" t="s">
        <v>61</v>
      </c>
      <c r="C161" t="s">
        <v>62</v>
      </c>
      <c r="D161" s="1">
        <v>46647</v>
      </c>
      <c r="E161" s="1" t="s">
        <v>586</v>
      </c>
      <c r="F161" s="1">
        <v>45552</v>
      </c>
    </row>
    <row r="162" spans="1:6" x14ac:dyDescent="0.2">
      <c r="A162" t="s">
        <v>85</v>
      </c>
      <c r="B162" t="s">
        <v>86</v>
      </c>
      <c r="C162" t="s">
        <v>87</v>
      </c>
      <c r="D162" s="1">
        <v>46647</v>
      </c>
      <c r="E162" s="1" t="s">
        <v>586</v>
      </c>
      <c r="F162" s="1">
        <v>45552</v>
      </c>
    </row>
    <row r="163" spans="1:6" x14ac:dyDescent="0.2">
      <c r="A163" t="s">
        <v>160</v>
      </c>
      <c r="B163" t="s">
        <v>86</v>
      </c>
      <c r="C163" t="s">
        <v>161</v>
      </c>
      <c r="D163" s="1">
        <v>46647</v>
      </c>
      <c r="E163" s="1" t="s">
        <v>586</v>
      </c>
      <c r="F163" s="1">
        <v>45552</v>
      </c>
    </row>
    <row r="164" spans="1:6" x14ac:dyDescent="0.2">
      <c r="A164" t="s">
        <v>214</v>
      </c>
      <c r="B164" t="s">
        <v>61</v>
      </c>
      <c r="C164" t="s">
        <v>215</v>
      </c>
      <c r="D164" s="1">
        <v>46647</v>
      </c>
      <c r="E164" s="1" t="s">
        <v>586</v>
      </c>
      <c r="F164" s="1">
        <v>45552</v>
      </c>
    </row>
    <row r="165" spans="1:6" x14ac:dyDescent="0.2">
      <c r="A165" t="s">
        <v>257</v>
      </c>
      <c r="B165" t="s">
        <v>61</v>
      </c>
      <c r="C165" t="s">
        <v>258</v>
      </c>
      <c r="D165" s="1">
        <v>46647</v>
      </c>
      <c r="E165" s="1" t="s">
        <v>586</v>
      </c>
      <c r="F165" s="1">
        <v>45552</v>
      </c>
    </row>
    <row r="166" spans="1:6" x14ac:dyDescent="0.2">
      <c r="A166" t="s">
        <v>414</v>
      </c>
      <c r="B166" t="s">
        <v>61</v>
      </c>
      <c r="C166" t="s">
        <v>415</v>
      </c>
      <c r="D166" s="1">
        <v>46647</v>
      </c>
      <c r="E166" s="1" t="s">
        <v>586</v>
      </c>
      <c r="F166" s="1">
        <v>45552</v>
      </c>
    </row>
    <row r="167" spans="1:6" x14ac:dyDescent="0.2">
      <c r="A167" t="s">
        <v>558</v>
      </c>
      <c r="B167" t="s">
        <v>86</v>
      </c>
      <c r="C167" t="s">
        <v>559</v>
      </c>
      <c r="D167" s="1">
        <v>46647</v>
      </c>
      <c r="E167" s="1" t="s">
        <v>586</v>
      </c>
      <c r="F167" s="1">
        <v>45552</v>
      </c>
    </row>
    <row r="168" spans="1:6" x14ac:dyDescent="0.2">
      <c r="A168" t="s">
        <v>570</v>
      </c>
      <c r="B168" t="s">
        <v>86</v>
      </c>
      <c r="C168" t="s">
        <v>571</v>
      </c>
      <c r="D168" s="1">
        <v>46647</v>
      </c>
      <c r="E168" s="1" t="s">
        <v>586</v>
      </c>
      <c r="F168" s="1">
        <v>45552</v>
      </c>
    </row>
    <row r="169" spans="1:6" x14ac:dyDescent="0.2">
      <c r="A169" t="s">
        <v>230</v>
      </c>
      <c r="B169" t="s">
        <v>37</v>
      </c>
      <c r="C169" t="s">
        <v>231</v>
      </c>
      <c r="D169" s="1">
        <v>46649</v>
      </c>
      <c r="E169" s="1" t="s">
        <v>586</v>
      </c>
      <c r="F169" s="1">
        <v>45541</v>
      </c>
    </row>
    <row r="170" spans="1:6" x14ac:dyDescent="0.2">
      <c r="A170" t="s">
        <v>508</v>
      </c>
      <c r="B170" t="s">
        <v>37</v>
      </c>
      <c r="C170" t="s">
        <v>509</v>
      </c>
      <c r="D170" s="1">
        <v>46649</v>
      </c>
      <c r="E170" s="1" t="s">
        <v>586</v>
      </c>
      <c r="F170" s="1">
        <v>45541</v>
      </c>
    </row>
    <row r="171" spans="1:6" x14ac:dyDescent="0.2">
      <c r="A171" t="s">
        <v>29</v>
      </c>
      <c r="B171" t="s">
        <v>16</v>
      </c>
      <c r="C171" t="s">
        <v>30</v>
      </c>
      <c r="D171" s="1">
        <v>46653</v>
      </c>
      <c r="E171" s="1" t="s">
        <v>586</v>
      </c>
      <c r="F171" s="1">
        <v>45558</v>
      </c>
    </row>
    <row r="172" spans="1:6" x14ac:dyDescent="0.2">
      <c r="A172" t="s">
        <v>166</v>
      </c>
      <c r="B172" t="s">
        <v>16</v>
      </c>
      <c r="C172" t="s">
        <v>167</v>
      </c>
      <c r="D172" s="1">
        <v>46653</v>
      </c>
      <c r="E172" s="1" t="s">
        <v>586</v>
      </c>
      <c r="F172" s="1">
        <v>45558</v>
      </c>
    </row>
    <row r="173" spans="1:6" x14ac:dyDescent="0.2">
      <c r="A173" t="s">
        <v>31</v>
      </c>
      <c r="B173" t="s">
        <v>9</v>
      </c>
      <c r="C173" t="s">
        <v>32</v>
      </c>
      <c r="D173" s="1">
        <v>46657</v>
      </c>
      <c r="E173" s="1" t="s">
        <v>586</v>
      </c>
      <c r="F173" s="1">
        <v>45562</v>
      </c>
    </row>
    <row r="174" spans="1:6" x14ac:dyDescent="0.2">
      <c r="A174" t="s">
        <v>109</v>
      </c>
      <c r="B174" t="s">
        <v>9</v>
      </c>
      <c r="C174" t="s">
        <v>110</v>
      </c>
      <c r="D174" s="1">
        <v>46657</v>
      </c>
      <c r="E174" s="1" t="s">
        <v>586</v>
      </c>
      <c r="F174" s="1">
        <v>45562</v>
      </c>
    </row>
    <row r="175" spans="1:6" x14ac:dyDescent="0.2">
      <c r="A175" t="s">
        <v>156</v>
      </c>
      <c r="B175" t="s">
        <v>9</v>
      </c>
      <c r="C175" t="s">
        <v>157</v>
      </c>
      <c r="D175" s="1">
        <v>46657</v>
      </c>
      <c r="E175" s="1" t="s">
        <v>586</v>
      </c>
      <c r="F175" s="1">
        <v>45562</v>
      </c>
    </row>
    <row r="176" spans="1:6" x14ac:dyDescent="0.2">
      <c r="A176" t="s">
        <v>329</v>
      </c>
      <c r="B176" t="s">
        <v>9</v>
      </c>
      <c r="C176" t="s">
        <v>330</v>
      </c>
      <c r="D176" s="1">
        <v>46657</v>
      </c>
      <c r="E176" s="1" t="s">
        <v>586</v>
      </c>
      <c r="F176" s="1">
        <v>45562</v>
      </c>
    </row>
    <row r="177" spans="1:6" x14ac:dyDescent="0.2">
      <c r="A177" t="s">
        <v>492</v>
      </c>
      <c r="B177" t="s">
        <v>37</v>
      </c>
      <c r="C177" t="s">
        <v>493</v>
      </c>
      <c r="D177" s="1">
        <v>46657</v>
      </c>
      <c r="E177" s="1" t="s">
        <v>586</v>
      </c>
      <c r="F177" s="1">
        <v>45562</v>
      </c>
    </row>
    <row r="178" spans="1:6" x14ac:dyDescent="0.2">
      <c r="A178" t="s">
        <v>498</v>
      </c>
      <c r="B178" t="s">
        <v>37</v>
      </c>
      <c r="C178" t="s">
        <v>499</v>
      </c>
      <c r="D178" s="1">
        <v>46657</v>
      </c>
      <c r="E178" s="1" t="s">
        <v>586</v>
      </c>
      <c r="F178" s="1">
        <v>45562</v>
      </c>
    </row>
    <row r="179" spans="1:6" x14ac:dyDescent="0.2">
      <c r="A179" t="s">
        <v>113</v>
      </c>
      <c r="B179" t="s">
        <v>9</v>
      </c>
      <c r="C179" t="s">
        <v>114</v>
      </c>
      <c r="D179" s="1">
        <v>46667</v>
      </c>
      <c r="E179" s="1" t="s">
        <v>587</v>
      </c>
      <c r="F179" s="1">
        <v>45572</v>
      </c>
    </row>
    <row r="180" spans="1:6" x14ac:dyDescent="0.2">
      <c r="A180" t="s">
        <v>360</v>
      </c>
      <c r="B180" t="s">
        <v>9</v>
      </c>
      <c r="C180" t="s">
        <v>361</v>
      </c>
      <c r="D180" s="1">
        <v>46679</v>
      </c>
      <c r="E180" s="1" t="s">
        <v>587</v>
      </c>
      <c r="F180" s="1">
        <v>45586</v>
      </c>
    </row>
    <row r="181" spans="1:6" x14ac:dyDescent="0.2">
      <c r="A181" t="s">
        <v>560</v>
      </c>
      <c r="B181" t="s">
        <v>9</v>
      </c>
      <c r="C181" t="s">
        <v>561</v>
      </c>
      <c r="D181" s="1">
        <v>46679</v>
      </c>
      <c r="E181" s="1" t="s">
        <v>587</v>
      </c>
      <c r="F181" s="1">
        <v>45835</v>
      </c>
    </row>
    <row r="182" spans="1:6" x14ac:dyDescent="0.2">
      <c r="A182" t="s">
        <v>150</v>
      </c>
      <c r="B182" t="s">
        <v>9</v>
      </c>
      <c r="C182" t="s">
        <v>151</v>
      </c>
      <c r="D182" s="1">
        <v>46681</v>
      </c>
      <c r="E182" s="1" t="s">
        <v>587</v>
      </c>
      <c r="F182" s="1">
        <v>45586</v>
      </c>
    </row>
    <row r="183" spans="1:6" x14ac:dyDescent="0.2">
      <c r="A183" t="s">
        <v>20</v>
      </c>
      <c r="B183" t="s">
        <v>9</v>
      </c>
      <c r="C183" t="s">
        <v>21</v>
      </c>
      <c r="D183" s="1">
        <v>46686</v>
      </c>
      <c r="E183" s="1" t="s">
        <v>587</v>
      </c>
      <c r="F183" s="1">
        <v>45593</v>
      </c>
    </row>
    <row r="184" spans="1:6" x14ac:dyDescent="0.2">
      <c r="A184" t="s">
        <v>206</v>
      </c>
      <c r="B184" t="s">
        <v>9</v>
      </c>
      <c r="C184" t="s">
        <v>207</v>
      </c>
      <c r="D184" s="1">
        <v>46686</v>
      </c>
      <c r="E184" s="1" t="s">
        <v>587</v>
      </c>
      <c r="F184" s="1">
        <v>45593</v>
      </c>
    </row>
    <row r="185" spans="1:6" x14ac:dyDescent="0.2">
      <c r="A185" t="s">
        <v>251</v>
      </c>
      <c r="B185" t="s">
        <v>9</v>
      </c>
      <c r="C185" t="s">
        <v>252</v>
      </c>
      <c r="D185" s="1">
        <v>46686</v>
      </c>
      <c r="E185" s="1" t="s">
        <v>587</v>
      </c>
      <c r="F185" s="1">
        <v>45666</v>
      </c>
    </row>
    <row r="186" spans="1:6" x14ac:dyDescent="0.2">
      <c r="A186" t="s">
        <v>284</v>
      </c>
      <c r="B186" t="s">
        <v>9</v>
      </c>
      <c r="C186" t="s">
        <v>285</v>
      </c>
      <c r="D186" s="1">
        <v>46686</v>
      </c>
      <c r="E186" s="1" t="s">
        <v>587</v>
      </c>
      <c r="F186" s="1">
        <v>45593</v>
      </c>
    </row>
    <row r="187" spans="1:6" x14ac:dyDescent="0.2">
      <c r="A187" t="s">
        <v>310</v>
      </c>
      <c r="B187" t="s">
        <v>9</v>
      </c>
      <c r="C187" t="s">
        <v>311</v>
      </c>
      <c r="D187" s="1">
        <v>46686</v>
      </c>
      <c r="E187" s="1" t="s">
        <v>587</v>
      </c>
      <c r="F187" s="1">
        <v>45593</v>
      </c>
    </row>
    <row r="188" spans="1:6" x14ac:dyDescent="0.2">
      <c r="A188" t="s">
        <v>331</v>
      </c>
      <c r="B188" t="s">
        <v>9</v>
      </c>
      <c r="C188" t="s">
        <v>332</v>
      </c>
      <c r="D188" s="1">
        <v>46686</v>
      </c>
      <c r="E188" s="1" t="s">
        <v>587</v>
      </c>
      <c r="F188" s="1">
        <v>45835</v>
      </c>
    </row>
    <row r="189" spans="1:6" x14ac:dyDescent="0.2">
      <c r="A189" t="s">
        <v>391</v>
      </c>
      <c r="B189" t="s">
        <v>9</v>
      </c>
      <c r="C189" t="s">
        <v>392</v>
      </c>
      <c r="D189" s="1">
        <v>46686</v>
      </c>
      <c r="E189" s="1" t="s">
        <v>587</v>
      </c>
      <c r="F189" s="1">
        <v>45593</v>
      </c>
    </row>
    <row r="190" spans="1:6" x14ac:dyDescent="0.2">
      <c r="A190" t="s">
        <v>448</v>
      </c>
      <c r="B190" t="s">
        <v>9</v>
      </c>
      <c r="C190" t="s">
        <v>449</v>
      </c>
      <c r="D190" s="1">
        <v>46688</v>
      </c>
      <c r="E190" s="1" t="s">
        <v>587</v>
      </c>
      <c r="F190" s="1">
        <v>45666</v>
      </c>
    </row>
    <row r="191" spans="1:6" x14ac:dyDescent="0.2">
      <c r="A191" t="s">
        <v>65</v>
      </c>
      <c r="B191" t="s">
        <v>9</v>
      </c>
      <c r="C191" t="s">
        <v>66</v>
      </c>
      <c r="D191" s="1">
        <v>46689</v>
      </c>
      <c r="E191" s="1" t="s">
        <v>587</v>
      </c>
      <c r="F191" s="1">
        <v>45599</v>
      </c>
    </row>
    <row r="192" spans="1:6" x14ac:dyDescent="0.2">
      <c r="A192" t="s">
        <v>105</v>
      </c>
      <c r="B192" t="s">
        <v>9</v>
      </c>
      <c r="C192" t="s">
        <v>106</v>
      </c>
      <c r="D192" s="1">
        <v>46689</v>
      </c>
      <c r="E192" s="1" t="s">
        <v>587</v>
      </c>
      <c r="F192" s="1">
        <v>45594</v>
      </c>
    </row>
    <row r="193" spans="1:6" x14ac:dyDescent="0.2">
      <c r="A193" t="s">
        <v>107</v>
      </c>
      <c r="B193" t="s">
        <v>9</v>
      </c>
      <c r="C193" t="s">
        <v>108</v>
      </c>
      <c r="D193" s="1">
        <v>46689</v>
      </c>
      <c r="E193" s="1" t="s">
        <v>587</v>
      </c>
      <c r="F193" s="1">
        <v>45594</v>
      </c>
    </row>
    <row r="194" spans="1:6" x14ac:dyDescent="0.2">
      <c r="A194" t="s">
        <v>186</v>
      </c>
      <c r="B194" t="s">
        <v>9</v>
      </c>
      <c r="C194" t="s">
        <v>187</v>
      </c>
      <c r="D194" s="1">
        <v>46689</v>
      </c>
      <c r="E194" s="1" t="s">
        <v>587</v>
      </c>
      <c r="F194" s="1">
        <v>45599</v>
      </c>
    </row>
    <row r="195" spans="1:6" x14ac:dyDescent="0.2">
      <c r="A195" t="s">
        <v>188</v>
      </c>
      <c r="B195" t="s">
        <v>37</v>
      </c>
      <c r="C195" t="s">
        <v>189</v>
      </c>
      <c r="D195" s="1">
        <v>46689</v>
      </c>
      <c r="E195" s="1" t="s">
        <v>587</v>
      </c>
      <c r="F195" s="1">
        <v>45594</v>
      </c>
    </row>
    <row r="196" spans="1:6" x14ac:dyDescent="0.2">
      <c r="A196" t="s">
        <v>200</v>
      </c>
      <c r="B196" t="s">
        <v>9</v>
      </c>
      <c r="C196" t="s">
        <v>201</v>
      </c>
      <c r="D196" s="1">
        <v>46689</v>
      </c>
      <c r="E196" s="1" t="s">
        <v>587</v>
      </c>
      <c r="F196" s="1">
        <v>45599</v>
      </c>
    </row>
    <row r="197" spans="1:6" x14ac:dyDescent="0.2">
      <c r="A197" t="s">
        <v>224</v>
      </c>
      <c r="B197" t="s">
        <v>9</v>
      </c>
      <c r="C197" t="s">
        <v>225</v>
      </c>
      <c r="D197" s="1">
        <v>46689</v>
      </c>
      <c r="E197" s="1" t="s">
        <v>587</v>
      </c>
      <c r="F197" s="1">
        <v>45599</v>
      </c>
    </row>
    <row r="198" spans="1:6" x14ac:dyDescent="0.2">
      <c r="A198" t="s">
        <v>308</v>
      </c>
      <c r="B198" t="s">
        <v>9</v>
      </c>
      <c r="C198" t="s">
        <v>309</v>
      </c>
      <c r="D198" s="1">
        <v>46689</v>
      </c>
      <c r="E198" s="1" t="s">
        <v>587</v>
      </c>
      <c r="F198" s="1">
        <v>45599</v>
      </c>
    </row>
    <row r="199" spans="1:6" x14ac:dyDescent="0.2">
      <c r="A199" t="s">
        <v>327</v>
      </c>
      <c r="B199" t="s">
        <v>37</v>
      </c>
      <c r="C199" t="s">
        <v>328</v>
      </c>
      <c r="D199" s="1">
        <v>46689</v>
      </c>
      <c r="E199" s="1" t="s">
        <v>587</v>
      </c>
      <c r="F199" s="1">
        <v>45594</v>
      </c>
    </row>
    <row r="200" spans="1:6" x14ac:dyDescent="0.2">
      <c r="A200" t="s">
        <v>350</v>
      </c>
      <c r="B200" t="s">
        <v>9</v>
      </c>
      <c r="C200" t="s">
        <v>351</v>
      </c>
      <c r="D200" s="1">
        <v>46689</v>
      </c>
      <c r="E200" s="1" t="s">
        <v>587</v>
      </c>
      <c r="F200" s="1">
        <v>45594</v>
      </c>
    </row>
    <row r="201" spans="1:6" x14ac:dyDescent="0.2">
      <c r="A201" t="s">
        <v>412</v>
      </c>
      <c r="B201" t="s">
        <v>9</v>
      </c>
      <c r="C201" t="s">
        <v>413</v>
      </c>
      <c r="D201" s="1">
        <v>46689</v>
      </c>
      <c r="E201" s="1" t="s">
        <v>587</v>
      </c>
      <c r="F201" s="1">
        <v>45596</v>
      </c>
    </row>
    <row r="202" spans="1:6" x14ac:dyDescent="0.2">
      <c r="A202" t="s">
        <v>420</v>
      </c>
      <c r="B202" t="s">
        <v>37</v>
      </c>
      <c r="C202" t="s">
        <v>421</v>
      </c>
      <c r="D202" s="1">
        <v>46689</v>
      </c>
      <c r="E202" s="1" t="s">
        <v>587</v>
      </c>
      <c r="F202" s="1">
        <v>45594</v>
      </c>
    </row>
    <row r="203" spans="1:6" x14ac:dyDescent="0.2">
      <c r="A203" t="s">
        <v>430</v>
      </c>
      <c r="B203" t="s">
        <v>9</v>
      </c>
      <c r="C203" t="s">
        <v>431</v>
      </c>
      <c r="D203" s="1">
        <v>46689</v>
      </c>
      <c r="E203" s="1" t="s">
        <v>587</v>
      </c>
      <c r="F203" s="1">
        <v>45599</v>
      </c>
    </row>
    <row r="204" spans="1:6" x14ac:dyDescent="0.2">
      <c r="A204" t="s">
        <v>454</v>
      </c>
      <c r="B204" t="s">
        <v>37</v>
      </c>
      <c r="C204" t="s">
        <v>455</v>
      </c>
      <c r="D204" s="1">
        <v>46689</v>
      </c>
      <c r="E204" s="1" t="s">
        <v>587</v>
      </c>
      <c r="F204" s="1">
        <v>45594</v>
      </c>
    </row>
    <row r="205" spans="1:6" x14ac:dyDescent="0.2">
      <c r="A205" t="s">
        <v>456</v>
      </c>
      <c r="B205" t="s">
        <v>9</v>
      </c>
      <c r="C205" t="s">
        <v>457</v>
      </c>
      <c r="D205" s="1">
        <v>46689</v>
      </c>
      <c r="E205" s="1" t="s">
        <v>587</v>
      </c>
      <c r="F205" s="1">
        <v>45599</v>
      </c>
    </row>
    <row r="206" spans="1:6" x14ac:dyDescent="0.2">
      <c r="A206" t="s">
        <v>574</v>
      </c>
      <c r="B206" t="s">
        <v>9</v>
      </c>
      <c r="C206" t="s">
        <v>575</v>
      </c>
      <c r="D206" s="1">
        <v>46689</v>
      </c>
      <c r="E206" s="1" t="s">
        <v>587</v>
      </c>
      <c r="F206" s="1">
        <v>45599</v>
      </c>
    </row>
    <row r="207" spans="1:6" x14ac:dyDescent="0.2">
      <c r="A207" t="s">
        <v>41</v>
      </c>
      <c r="B207" t="s">
        <v>37</v>
      </c>
      <c r="C207" t="s">
        <v>42</v>
      </c>
      <c r="D207" s="1">
        <v>46694</v>
      </c>
      <c r="E207" s="1" t="s">
        <v>587</v>
      </c>
      <c r="F207" s="1">
        <v>45599</v>
      </c>
    </row>
    <row r="208" spans="1:6" x14ac:dyDescent="0.2">
      <c r="A208" t="s">
        <v>261</v>
      </c>
      <c r="B208" t="s">
        <v>37</v>
      </c>
      <c r="C208" t="s">
        <v>262</v>
      </c>
      <c r="D208" s="1">
        <v>46694</v>
      </c>
      <c r="E208" s="1" t="s">
        <v>587</v>
      </c>
      <c r="F208" s="1">
        <v>45599</v>
      </c>
    </row>
    <row r="209" spans="1:6" x14ac:dyDescent="0.2">
      <c r="A209" t="s">
        <v>288</v>
      </c>
      <c r="B209" t="s">
        <v>37</v>
      </c>
      <c r="C209" t="s">
        <v>289</v>
      </c>
      <c r="D209" s="1">
        <v>46694</v>
      </c>
      <c r="E209" s="1" t="s">
        <v>587</v>
      </c>
      <c r="F209" s="1">
        <v>45599</v>
      </c>
    </row>
    <row r="210" spans="1:6" x14ac:dyDescent="0.2">
      <c r="A210" t="s">
        <v>385</v>
      </c>
      <c r="B210" t="s">
        <v>37</v>
      </c>
      <c r="C210" t="s">
        <v>386</v>
      </c>
      <c r="D210" s="1">
        <v>46694</v>
      </c>
      <c r="E210" s="1" t="s">
        <v>587</v>
      </c>
      <c r="F210" s="1">
        <v>45599</v>
      </c>
    </row>
    <row r="211" spans="1:6" x14ac:dyDescent="0.2">
      <c r="A211" t="s">
        <v>482</v>
      </c>
      <c r="B211" t="s">
        <v>9</v>
      </c>
      <c r="C211" t="s">
        <v>483</v>
      </c>
      <c r="D211" s="1">
        <v>46694</v>
      </c>
      <c r="E211" s="1" t="s">
        <v>587</v>
      </c>
      <c r="F211" s="1">
        <v>45700</v>
      </c>
    </row>
    <row r="212" spans="1:6" x14ac:dyDescent="0.2">
      <c r="A212" t="s">
        <v>33</v>
      </c>
      <c r="B212" t="s">
        <v>34</v>
      </c>
      <c r="C212" t="s">
        <v>35</v>
      </c>
      <c r="D212" s="1">
        <v>46725</v>
      </c>
      <c r="E212" s="1" t="s">
        <v>587</v>
      </c>
      <c r="F212" s="1">
        <v>44900</v>
      </c>
    </row>
    <row r="213" spans="1:6" x14ac:dyDescent="0.2">
      <c r="A213" t="s">
        <v>146</v>
      </c>
      <c r="B213" t="s">
        <v>34</v>
      </c>
      <c r="C213" t="s">
        <v>147</v>
      </c>
      <c r="D213" s="1">
        <v>46725</v>
      </c>
      <c r="E213" s="1" t="s">
        <v>587</v>
      </c>
      <c r="F213" s="1">
        <v>44900</v>
      </c>
    </row>
    <row r="214" spans="1:6" x14ac:dyDescent="0.2">
      <c r="A214" t="s">
        <v>180</v>
      </c>
      <c r="B214" t="s">
        <v>34</v>
      </c>
      <c r="C214" t="s">
        <v>181</v>
      </c>
      <c r="D214" s="1">
        <v>46725</v>
      </c>
      <c r="E214" s="1" t="s">
        <v>587</v>
      </c>
      <c r="F214" s="1">
        <v>44900</v>
      </c>
    </row>
    <row r="215" spans="1:6" x14ac:dyDescent="0.2">
      <c r="A215" t="s">
        <v>296</v>
      </c>
      <c r="B215" t="s">
        <v>34</v>
      </c>
      <c r="C215" t="s">
        <v>297</v>
      </c>
      <c r="D215" s="1">
        <v>46725</v>
      </c>
      <c r="E215" s="1" t="s">
        <v>587</v>
      </c>
      <c r="F215" s="1">
        <v>44900</v>
      </c>
    </row>
    <row r="216" spans="1:6" x14ac:dyDescent="0.2">
      <c r="A216" t="s">
        <v>395</v>
      </c>
      <c r="B216" t="s">
        <v>34</v>
      </c>
      <c r="C216" t="s">
        <v>396</v>
      </c>
      <c r="D216" s="1">
        <v>46725</v>
      </c>
      <c r="E216" s="1" t="s">
        <v>587</v>
      </c>
      <c r="F216" s="1">
        <v>44900</v>
      </c>
    </row>
    <row r="217" spans="1:6" x14ac:dyDescent="0.2">
      <c r="A217" t="s">
        <v>484</v>
      </c>
      <c r="B217" t="s">
        <v>34</v>
      </c>
      <c r="C217" t="s">
        <v>485</v>
      </c>
      <c r="D217" s="1">
        <v>46725</v>
      </c>
      <c r="E217" s="1" t="s">
        <v>587</v>
      </c>
      <c r="F217" s="1">
        <v>44900</v>
      </c>
    </row>
    <row r="218" spans="1:6" x14ac:dyDescent="0.2">
      <c r="A218" t="s">
        <v>494</v>
      </c>
      <c r="B218" t="s">
        <v>34</v>
      </c>
      <c r="C218" t="s">
        <v>495</v>
      </c>
      <c r="D218" s="1">
        <v>46725</v>
      </c>
      <c r="E218" s="1" t="s">
        <v>587</v>
      </c>
      <c r="F218" s="1">
        <v>44900</v>
      </c>
    </row>
    <row r="219" spans="1:6" x14ac:dyDescent="0.2">
      <c r="A219" t="s">
        <v>554</v>
      </c>
      <c r="B219" t="s">
        <v>34</v>
      </c>
      <c r="C219" t="s">
        <v>555</v>
      </c>
      <c r="D219" s="1">
        <v>46725</v>
      </c>
      <c r="E219" s="1" t="s">
        <v>587</v>
      </c>
      <c r="F219" s="1">
        <v>44900</v>
      </c>
    </row>
    <row r="220" spans="1:6" x14ac:dyDescent="0.2">
      <c r="A220" t="s">
        <v>182</v>
      </c>
      <c r="B220" t="s">
        <v>136</v>
      </c>
      <c r="C220" t="s">
        <v>183</v>
      </c>
      <c r="D220" s="1">
        <v>46739</v>
      </c>
      <c r="E220" s="1" t="s">
        <v>587</v>
      </c>
      <c r="F220" s="1">
        <v>44914</v>
      </c>
    </row>
    <row r="221" spans="1:6" x14ac:dyDescent="0.2">
      <c r="A221" t="s">
        <v>335</v>
      </c>
      <c r="B221" t="s">
        <v>136</v>
      </c>
      <c r="C221" t="s">
        <v>183</v>
      </c>
      <c r="D221" s="1">
        <v>46739</v>
      </c>
      <c r="E221" s="1" t="s">
        <v>587</v>
      </c>
      <c r="F221" s="1">
        <v>44914</v>
      </c>
    </row>
    <row r="222" spans="1:6" x14ac:dyDescent="0.2">
      <c r="A222" t="s">
        <v>370</v>
      </c>
      <c r="B222" t="s">
        <v>136</v>
      </c>
      <c r="C222" t="s">
        <v>183</v>
      </c>
      <c r="D222" s="1">
        <v>46739</v>
      </c>
      <c r="E222" s="1" t="s">
        <v>587</v>
      </c>
      <c r="F222" s="1">
        <v>44914</v>
      </c>
    </row>
    <row r="223" spans="1:6" x14ac:dyDescent="0.2">
      <c r="A223" t="s">
        <v>516</v>
      </c>
      <c r="B223" t="s">
        <v>136</v>
      </c>
      <c r="C223" t="s">
        <v>517</v>
      </c>
      <c r="D223" s="1">
        <v>46740</v>
      </c>
      <c r="E223" s="1" t="s">
        <v>587</v>
      </c>
      <c r="F223" s="1">
        <v>44915</v>
      </c>
    </row>
    <row r="224" spans="1:6" x14ac:dyDescent="0.2">
      <c r="A224" t="s">
        <v>540</v>
      </c>
      <c r="B224" t="s">
        <v>136</v>
      </c>
      <c r="C224" t="s">
        <v>541</v>
      </c>
      <c r="D224" s="1">
        <v>46740</v>
      </c>
      <c r="E224" s="1" t="s">
        <v>587</v>
      </c>
      <c r="F224" s="1">
        <v>44915</v>
      </c>
    </row>
    <row r="225" spans="1:6" x14ac:dyDescent="0.2">
      <c r="A225" t="s">
        <v>404</v>
      </c>
      <c r="B225" t="s">
        <v>9</v>
      </c>
      <c r="C225" t="s">
        <v>405</v>
      </c>
      <c r="D225" s="1">
        <v>46764</v>
      </c>
      <c r="E225" s="1" t="s">
        <v>588</v>
      </c>
      <c r="F225" s="1">
        <v>45757</v>
      </c>
    </row>
    <row r="226" spans="1:6" x14ac:dyDescent="0.2">
      <c r="A226" t="s">
        <v>94</v>
      </c>
      <c r="B226" t="s">
        <v>95</v>
      </c>
      <c r="C226" t="s">
        <v>96</v>
      </c>
      <c r="D226" s="1">
        <v>46773</v>
      </c>
      <c r="E226" s="1" t="s">
        <v>588</v>
      </c>
      <c r="F226" s="1">
        <v>45678</v>
      </c>
    </row>
    <row r="227" spans="1:6" x14ac:dyDescent="0.2">
      <c r="A227" t="s">
        <v>504</v>
      </c>
      <c r="B227" t="s">
        <v>95</v>
      </c>
      <c r="C227" t="s">
        <v>505</v>
      </c>
      <c r="D227" s="1">
        <v>46773</v>
      </c>
      <c r="E227" s="1" t="s">
        <v>588</v>
      </c>
      <c r="F227" s="1">
        <v>45678</v>
      </c>
    </row>
    <row r="228" spans="1:6" x14ac:dyDescent="0.2">
      <c r="A228" t="s">
        <v>127</v>
      </c>
      <c r="B228" t="s">
        <v>86</v>
      </c>
      <c r="C228" t="s">
        <v>128</v>
      </c>
      <c r="D228" s="1">
        <v>46780</v>
      </c>
      <c r="E228" s="1" t="s">
        <v>588</v>
      </c>
      <c r="F228" s="1">
        <v>45685</v>
      </c>
    </row>
    <row r="229" spans="1:6" x14ac:dyDescent="0.2">
      <c r="A229" t="s">
        <v>444</v>
      </c>
      <c r="B229" t="s">
        <v>86</v>
      </c>
      <c r="C229" t="s">
        <v>445</v>
      </c>
      <c r="D229" s="1">
        <v>46780</v>
      </c>
      <c r="E229" s="1" t="s">
        <v>588</v>
      </c>
      <c r="F229" s="1">
        <v>45685</v>
      </c>
    </row>
    <row r="230" spans="1:6" x14ac:dyDescent="0.2">
      <c r="A230" t="s">
        <v>164</v>
      </c>
      <c r="B230" t="s">
        <v>9</v>
      </c>
      <c r="C230" t="s">
        <v>165</v>
      </c>
      <c r="D230" s="1">
        <v>46824</v>
      </c>
      <c r="E230" s="1" t="s">
        <v>588</v>
      </c>
      <c r="F230" s="1">
        <v>45729</v>
      </c>
    </row>
    <row r="231" spans="1:6" x14ac:dyDescent="0.2">
      <c r="A231" t="s">
        <v>36</v>
      </c>
      <c r="B231" t="s">
        <v>37</v>
      </c>
      <c r="C231" t="s">
        <v>38</v>
      </c>
      <c r="D231" s="1">
        <v>46834</v>
      </c>
      <c r="E231" s="1" t="s">
        <v>588</v>
      </c>
      <c r="F231" s="1">
        <v>45002</v>
      </c>
    </row>
    <row r="232" spans="1:6" x14ac:dyDescent="0.2">
      <c r="A232" t="s">
        <v>236</v>
      </c>
      <c r="B232" t="s">
        <v>37</v>
      </c>
      <c r="C232" t="s">
        <v>237</v>
      </c>
      <c r="D232" s="1">
        <v>46834</v>
      </c>
      <c r="E232" s="1" t="s">
        <v>588</v>
      </c>
      <c r="F232" s="1">
        <v>45002</v>
      </c>
    </row>
    <row r="233" spans="1:6" x14ac:dyDescent="0.2">
      <c r="A233" t="s">
        <v>292</v>
      </c>
      <c r="B233" t="s">
        <v>37</v>
      </c>
      <c r="C233" t="s">
        <v>293</v>
      </c>
      <c r="D233" s="1">
        <v>46838</v>
      </c>
      <c r="E233" s="1" t="s">
        <v>588</v>
      </c>
      <c r="F233" s="1">
        <v>45013</v>
      </c>
    </row>
    <row r="234" spans="1:6" x14ac:dyDescent="0.2">
      <c r="A234" t="s">
        <v>426</v>
      </c>
      <c r="B234" t="s">
        <v>37</v>
      </c>
      <c r="C234" t="s">
        <v>427</v>
      </c>
      <c r="D234" s="1">
        <v>46838</v>
      </c>
      <c r="E234" s="1" t="s">
        <v>588</v>
      </c>
      <c r="F234" s="1">
        <v>45013</v>
      </c>
    </row>
    <row r="235" spans="1:6" x14ac:dyDescent="0.2">
      <c r="A235" t="s">
        <v>43</v>
      </c>
      <c r="B235" t="s">
        <v>37</v>
      </c>
      <c r="C235" t="s">
        <v>44</v>
      </c>
      <c r="D235" s="1">
        <v>46852</v>
      </c>
      <c r="E235" s="1" t="s">
        <v>589</v>
      </c>
      <c r="F235" s="1">
        <v>45027</v>
      </c>
    </row>
    <row r="236" spans="1:6" x14ac:dyDescent="0.2">
      <c r="A236" t="s">
        <v>502</v>
      </c>
      <c r="B236" t="s">
        <v>37</v>
      </c>
      <c r="C236" t="s">
        <v>503</v>
      </c>
      <c r="D236" s="1">
        <v>46852</v>
      </c>
      <c r="E236" s="1" t="s">
        <v>589</v>
      </c>
      <c r="F236" s="1">
        <v>45027</v>
      </c>
    </row>
    <row r="237" spans="1:6" x14ac:dyDescent="0.2">
      <c r="A237" t="s">
        <v>45</v>
      </c>
      <c r="B237" t="s">
        <v>46</v>
      </c>
      <c r="C237" t="s">
        <v>47</v>
      </c>
      <c r="D237" s="1">
        <v>46880</v>
      </c>
      <c r="E237" s="1" t="s">
        <v>589</v>
      </c>
      <c r="F237" s="1">
        <v>45785</v>
      </c>
    </row>
    <row r="238" spans="1:6" x14ac:dyDescent="0.2">
      <c r="A238" t="s">
        <v>117</v>
      </c>
      <c r="B238" t="s">
        <v>46</v>
      </c>
      <c r="C238" t="s">
        <v>118</v>
      </c>
      <c r="D238" s="1">
        <v>46880</v>
      </c>
      <c r="E238" s="1" t="s">
        <v>589</v>
      </c>
      <c r="F238" s="1">
        <v>45785</v>
      </c>
    </row>
    <row r="239" spans="1:6" x14ac:dyDescent="0.2">
      <c r="A239" t="s">
        <v>259</v>
      </c>
      <c r="B239" t="s">
        <v>9</v>
      </c>
      <c r="C239" t="s">
        <v>260</v>
      </c>
      <c r="D239" s="1">
        <v>46880</v>
      </c>
      <c r="E239" s="1" t="s">
        <v>589</v>
      </c>
      <c r="F239" s="1">
        <v>45757</v>
      </c>
    </row>
    <row r="240" spans="1:6" x14ac:dyDescent="0.2">
      <c r="A240" t="s">
        <v>500</v>
      </c>
      <c r="B240" t="s">
        <v>46</v>
      </c>
      <c r="C240" t="s">
        <v>501</v>
      </c>
      <c r="D240" s="1">
        <v>46880</v>
      </c>
      <c r="E240" s="1" t="s">
        <v>589</v>
      </c>
      <c r="F240" s="1">
        <v>45785</v>
      </c>
    </row>
    <row r="241" spans="1:6" x14ac:dyDescent="0.2">
      <c r="A241" t="s">
        <v>520</v>
      </c>
      <c r="B241" t="s">
        <v>46</v>
      </c>
      <c r="C241" t="s">
        <v>521</v>
      </c>
      <c r="D241" s="1">
        <v>46880</v>
      </c>
      <c r="E241" s="1" t="s">
        <v>589</v>
      </c>
      <c r="F241" s="1">
        <v>45785</v>
      </c>
    </row>
    <row r="242" spans="1:6" x14ac:dyDescent="0.2">
      <c r="A242" t="s">
        <v>48</v>
      </c>
      <c r="B242" t="s">
        <v>46</v>
      </c>
      <c r="C242" t="s">
        <v>49</v>
      </c>
      <c r="D242" s="1">
        <v>46884</v>
      </c>
      <c r="E242" s="1" t="s">
        <v>589</v>
      </c>
      <c r="F242" s="1">
        <v>45789</v>
      </c>
    </row>
    <row r="243" spans="1:6" x14ac:dyDescent="0.2">
      <c r="A243" t="s">
        <v>263</v>
      </c>
      <c r="B243" t="s">
        <v>46</v>
      </c>
      <c r="C243" t="s">
        <v>264</v>
      </c>
      <c r="D243" s="1">
        <v>46884</v>
      </c>
      <c r="E243" s="1" t="s">
        <v>589</v>
      </c>
      <c r="F243" s="1">
        <v>45789</v>
      </c>
    </row>
    <row r="244" spans="1:6" x14ac:dyDescent="0.2">
      <c r="A244" t="s">
        <v>286</v>
      </c>
      <c r="B244" t="s">
        <v>46</v>
      </c>
      <c r="C244" t="s">
        <v>287</v>
      </c>
      <c r="D244" s="1">
        <v>46884</v>
      </c>
      <c r="E244" s="1" t="s">
        <v>589</v>
      </c>
      <c r="F244" s="1">
        <v>45789</v>
      </c>
    </row>
    <row r="245" spans="1:6" x14ac:dyDescent="0.2">
      <c r="A245" t="s">
        <v>416</v>
      </c>
      <c r="B245" t="s">
        <v>46</v>
      </c>
      <c r="C245" t="s">
        <v>417</v>
      </c>
      <c r="D245" s="1">
        <v>46884</v>
      </c>
      <c r="E245" s="1" t="s">
        <v>589</v>
      </c>
      <c r="F245" s="1">
        <v>45789</v>
      </c>
    </row>
    <row r="246" spans="1:6" x14ac:dyDescent="0.2">
      <c r="A246" t="s">
        <v>452</v>
      </c>
      <c r="B246" t="s">
        <v>46</v>
      </c>
      <c r="C246" t="s">
        <v>453</v>
      </c>
      <c r="D246" s="1">
        <v>46884</v>
      </c>
      <c r="E246" s="1" t="s">
        <v>589</v>
      </c>
      <c r="F246" s="1">
        <v>45789</v>
      </c>
    </row>
    <row r="247" spans="1:6" x14ac:dyDescent="0.2">
      <c r="A247" t="s">
        <v>548</v>
      </c>
      <c r="B247" t="s">
        <v>46</v>
      </c>
      <c r="C247" t="s">
        <v>549</v>
      </c>
      <c r="D247" s="1">
        <v>46884</v>
      </c>
      <c r="E247" s="1" t="s">
        <v>589</v>
      </c>
      <c r="F247" s="1">
        <v>45789</v>
      </c>
    </row>
    <row r="248" spans="1:6" x14ac:dyDescent="0.2">
      <c r="A248" t="s">
        <v>119</v>
      </c>
      <c r="B248" t="s">
        <v>16</v>
      </c>
      <c r="C248" t="s">
        <v>120</v>
      </c>
      <c r="D248" s="1">
        <v>46906</v>
      </c>
      <c r="E248" s="1" t="s">
        <v>589</v>
      </c>
      <c r="F248" s="1">
        <v>45811</v>
      </c>
    </row>
    <row r="249" spans="1:6" x14ac:dyDescent="0.2">
      <c r="A249" t="s">
        <v>368</v>
      </c>
      <c r="B249" t="s">
        <v>16</v>
      </c>
      <c r="C249" t="s">
        <v>369</v>
      </c>
      <c r="D249" s="1">
        <v>46906</v>
      </c>
      <c r="E249" s="1" t="s">
        <v>589</v>
      </c>
      <c r="F249" s="1">
        <v>45811</v>
      </c>
    </row>
    <row r="250" spans="1:6" x14ac:dyDescent="0.2">
      <c r="A250" t="s">
        <v>271</v>
      </c>
      <c r="B250" t="s">
        <v>34</v>
      </c>
      <c r="C250" t="s">
        <v>272</v>
      </c>
      <c r="D250" s="1">
        <v>46917</v>
      </c>
      <c r="E250" s="1" t="s">
        <v>589</v>
      </c>
      <c r="F250" s="1">
        <v>45135</v>
      </c>
    </row>
    <row r="251" spans="1:6" x14ac:dyDescent="0.2">
      <c r="A251" t="s">
        <v>346</v>
      </c>
      <c r="B251" t="s">
        <v>34</v>
      </c>
      <c r="C251" t="s">
        <v>347</v>
      </c>
      <c r="D251" s="1">
        <v>46917</v>
      </c>
      <c r="E251" s="1" t="s">
        <v>589</v>
      </c>
      <c r="F251" s="1">
        <v>45135</v>
      </c>
    </row>
    <row r="252" spans="1:6" x14ac:dyDescent="0.2">
      <c r="A252" t="s">
        <v>356</v>
      </c>
      <c r="B252" t="s">
        <v>34</v>
      </c>
      <c r="C252" t="s">
        <v>357</v>
      </c>
      <c r="D252" s="1">
        <v>46917</v>
      </c>
      <c r="E252" s="1" t="s">
        <v>589</v>
      </c>
      <c r="F252" s="1">
        <v>45135</v>
      </c>
    </row>
    <row r="253" spans="1:6" x14ac:dyDescent="0.2">
      <c r="A253" t="s">
        <v>424</v>
      </c>
      <c r="B253" t="s">
        <v>34</v>
      </c>
      <c r="C253" t="s">
        <v>425</v>
      </c>
      <c r="D253" s="1">
        <v>46917</v>
      </c>
      <c r="E253" s="1" t="s">
        <v>589</v>
      </c>
      <c r="F253" s="1">
        <v>45135</v>
      </c>
    </row>
    <row r="254" spans="1:6" x14ac:dyDescent="0.2">
      <c r="A254" t="s">
        <v>336</v>
      </c>
      <c r="B254" t="s">
        <v>37</v>
      </c>
      <c r="C254" t="s">
        <v>337</v>
      </c>
      <c r="D254" s="1">
        <v>46930</v>
      </c>
      <c r="E254" s="1" t="s">
        <v>589</v>
      </c>
      <c r="F254" s="1">
        <v>45835</v>
      </c>
    </row>
    <row r="255" spans="1:6" x14ac:dyDescent="0.2">
      <c r="A255" t="s">
        <v>428</v>
      </c>
      <c r="B255" t="s">
        <v>37</v>
      </c>
      <c r="C255" t="s">
        <v>429</v>
      </c>
      <c r="D255" s="1">
        <v>46930</v>
      </c>
      <c r="E255" s="1" t="s">
        <v>589</v>
      </c>
      <c r="F255" s="1">
        <v>45835</v>
      </c>
    </row>
    <row r="256" spans="1:6" x14ac:dyDescent="0.2">
      <c r="A256" t="s">
        <v>512</v>
      </c>
      <c r="B256" t="s">
        <v>9</v>
      </c>
      <c r="C256" t="s">
        <v>513</v>
      </c>
      <c r="D256" s="1">
        <v>46948</v>
      </c>
      <c r="E256" s="1" t="s">
        <v>590</v>
      </c>
      <c r="F256" s="1">
        <v>45860</v>
      </c>
    </row>
    <row r="257" spans="1:6" x14ac:dyDescent="0.2">
      <c r="A257" t="s">
        <v>176</v>
      </c>
      <c r="B257" t="s">
        <v>37</v>
      </c>
      <c r="C257" t="s">
        <v>177</v>
      </c>
      <c r="D257" s="1">
        <v>46952</v>
      </c>
      <c r="E257" s="1" t="s">
        <v>590</v>
      </c>
      <c r="F257" s="1">
        <v>45127</v>
      </c>
    </row>
    <row r="258" spans="1:6" x14ac:dyDescent="0.2">
      <c r="A258" t="s">
        <v>466</v>
      </c>
      <c r="B258" t="s">
        <v>37</v>
      </c>
      <c r="C258" t="s">
        <v>467</v>
      </c>
      <c r="D258" s="1">
        <v>46952</v>
      </c>
      <c r="E258" s="1" t="s">
        <v>590</v>
      </c>
      <c r="F258" s="1">
        <v>45127</v>
      </c>
    </row>
    <row r="259" spans="1:6" x14ac:dyDescent="0.2">
      <c r="A259" t="s">
        <v>342</v>
      </c>
      <c r="B259" t="s">
        <v>16</v>
      </c>
      <c r="C259" t="s">
        <v>343</v>
      </c>
      <c r="D259" s="1">
        <v>46957</v>
      </c>
      <c r="E259" s="1" t="s">
        <v>590</v>
      </c>
      <c r="F259" s="1">
        <v>45862</v>
      </c>
    </row>
    <row r="260" spans="1:6" x14ac:dyDescent="0.2">
      <c r="A260" t="s">
        <v>506</v>
      </c>
      <c r="B260" t="s">
        <v>16</v>
      </c>
      <c r="C260" t="s">
        <v>507</v>
      </c>
      <c r="D260" s="1">
        <v>46957</v>
      </c>
      <c r="E260" s="1" t="s">
        <v>590</v>
      </c>
      <c r="F260" s="1">
        <v>45862</v>
      </c>
    </row>
    <row r="261" spans="1:6" x14ac:dyDescent="0.2">
      <c r="A261" t="s">
        <v>280</v>
      </c>
      <c r="B261" t="s">
        <v>37</v>
      </c>
      <c r="C261" t="s">
        <v>281</v>
      </c>
      <c r="D261" s="1">
        <v>46960</v>
      </c>
      <c r="E261" s="1" t="s">
        <v>590</v>
      </c>
      <c r="F261" s="1">
        <v>45135</v>
      </c>
    </row>
    <row r="262" spans="1:6" x14ac:dyDescent="0.2">
      <c r="A262" t="s">
        <v>379</v>
      </c>
      <c r="B262" t="s">
        <v>37</v>
      </c>
      <c r="C262" t="s">
        <v>380</v>
      </c>
      <c r="D262" s="1">
        <v>46960</v>
      </c>
      <c r="E262" s="1" t="s">
        <v>590</v>
      </c>
      <c r="F262" s="1">
        <v>45135</v>
      </c>
    </row>
    <row r="263" spans="1:6" x14ac:dyDescent="0.2">
      <c r="A263" t="s">
        <v>75</v>
      </c>
      <c r="B263" t="s">
        <v>76</v>
      </c>
      <c r="C263" t="s">
        <v>77</v>
      </c>
      <c r="D263" s="1">
        <v>46992</v>
      </c>
      <c r="E263" s="1" t="s">
        <v>590</v>
      </c>
      <c r="F263" s="1">
        <v>45897</v>
      </c>
    </row>
    <row r="264" spans="1:6" x14ac:dyDescent="0.2">
      <c r="A264" t="s">
        <v>170</v>
      </c>
      <c r="B264" t="s">
        <v>76</v>
      </c>
      <c r="C264" t="s">
        <v>171</v>
      </c>
      <c r="D264" s="1">
        <v>46992</v>
      </c>
      <c r="E264" s="1" t="s">
        <v>590</v>
      </c>
      <c r="F264" s="1">
        <v>45897</v>
      </c>
    </row>
    <row r="265" spans="1:6" x14ac:dyDescent="0.2">
      <c r="A265" t="s">
        <v>101</v>
      </c>
      <c r="B265" t="s">
        <v>79</v>
      </c>
      <c r="C265" t="s">
        <v>102</v>
      </c>
      <c r="D265" s="1">
        <v>47049</v>
      </c>
      <c r="E265" s="1" t="s">
        <v>591</v>
      </c>
      <c r="F265" s="1">
        <v>45831</v>
      </c>
    </row>
    <row r="266" spans="1:6" x14ac:dyDescent="0.2">
      <c r="A266" t="s">
        <v>172</v>
      </c>
      <c r="B266" t="s">
        <v>79</v>
      </c>
      <c r="C266" t="s">
        <v>173</v>
      </c>
      <c r="D266" s="1">
        <v>47049</v>
      </c>
      <c r="E266" s="1" t="s">
        <v>591</v>
      </c>
      <c r="F266" s="1">
        <v>45831</v>
      </c>
    </row>
    <row r="267" spans="1:6" x14ac:dyDescent="0.2">
      <c r="A267" t="s">
        <v>298</v>
      </c>
      <c r="B267" t="s">
        <v>79</v>
      </c>
      <c r="C267" t="s">
        <v>299</v>
      </c>
      <c r="D267" s="1">
        <v>47049</v>
      </c>
      <c r="E267" s="1" t="s">
        <v>591</v>
      </c>
      <c r="F267" s="1">
        <v>45771</v>
      </c>
    </row>
    <row r="268" spans="1:6" x14ac:dyDescent="0.2">
      <c r="A268" t="s">
        <v>375</v>
      </c>
      <c r="B268" t="s">
        <v>79</v>
      </c>
      <c r="C268" t="s">
        <v>376</v>
      </c>
      <c r="D268" s="1">
        <v>47049</v>
      </c>
      <c r="E268" s="1" t="s">
        <v>591</v>
      </c>
      <c r="F268" s="1">
        <v>45874</v>
      </c>
    </row>
    <row r="269" spans="1:6" x14ac:dyDescent="0.2">
      <c r="A269" t="s">
        <v>478</v>
      </c>
      <c r="B269" t="s">
        <v>79</v>
      </c>
      <c r="C269" t="s">
        <v>479</v>
      </c>
      <c r="D269" s="1">
        <v>47049</v>
      </c>
      <c r="E269" s="1" t="s">
        <v>591</v>
      </c>
      <c r="F269" s="1">
        <v>45874</v>
      </c>
    </row>
    <row r="270" spans="1:6" x14ac:dyDescent="0.2">
      <c r="A270" t="s">
        <v>572</v>
      </c>
      <c r="B270" t="s">
        <v>79</v>
      </c>
      <c r="C270" t="s">
        <v>573</v>
      </c>
      <c r="D270" s="1">
        <v>47049</v>
      </c>
      <c r="E270" s="1" t="s">
        <v>591</v>
      </c>
      <c r="F270" s="1">
        <v>45771</v>
      </c>
    </row>
    <row r="271" spans="1:6" x14ac:dyDescent="0.2">
      <c r="A271" t="s">
        <v>78</v>
      </c>
      <c r="B271" t="s">
        <v>79</v>
      </c>
      <c r="C271" t="s">
        <v>80</v>
      </c>
      <c r="D271" s="1">
        <v>47065</v>
      </c>
      <c r="E271" s="1" t="s">
        <v>591</v>
      </c>
      <c r="F271" s="1">
        <v>45972</v>
      </c>
    </row>
    <row r="272" spans="1:6" x14ac:dyDescent="0.2">
      <c r="A272" t="s">
        <v>232</v>
      </c>
      <c r="B272" t="s">
        <v>79</v>
      </c>
      <c r="C272" t="s">
        <v>233</v>
      </c>
      <c r="D272" s="1">
        <v>47065</v>
      </c>
      <c r="E272" s="1" t="s">
        <v>591</v>
      </c>
      <c r="F272" s="1">
        <v>45972</v>
      </c>
    </row>
    <row r="273" spans="1:6" x14ac:dyDescent="0.2">
      <c r="A273" t="s">
        <v>401</v>
      </c>
      <c r="B273" t="s">
        <v>402</v>
      </c>
      <c r="C273" t="s">
        <v>403</v>
      </c>
      <c r="D273" s="1">
        <v>47068</v>
      </c>
      <c r="E273" s="1" t="s">
        <v>591</v>
      </c>
      <c r="F273" s="1">
        <v>45750</v>
      </c>
    </row>
    <row r="274" spans="1:6" x14ac:dyDescent="0.2">
      <c r="A274" t="s">
        <v>526</v>
      </c>
      <c r="B274" t="s">
        <v>527</v>
      </c>
      <c r="C274" t="s">
        <v>528</v>
      </c>
      <c r="D274" s="1">
        <v>47068</v>
      </c>
      <c r="E274" s="1" t="s">
        <v>591</v>
      </c>
      <c r="F274" s="1">
        <v>45835</v>
      </c>
    </row>
    <row r="275" spans="1:6" x14ac:dyDescent="0.2">
      <c r="A275" t="s">
        <v>220</v>
      </c>
      <c r="B275" t="s">
        <v>9</v>
      </c>
      <c r="C275" t="s">
        <v>221</v>
      </c>
      <c r="D275" s="1">
        <v>47097</v>
      </c>
      <c r="E275" s="1" t="s">
        <v>591</v>
      </c>
      <c r="F275" s="1">
        <v>45272</v>
      </c>
    </row>
    <row r="276" spans="1:6" x14ac:dyDescent="0.2">
      <c r="A276" t="s">
        <v>533</v>
      </c>
      <c r="B276" t="s">
        <v>534</v>
      </c>
      <c r="C276" t="s">
        <v>535</v>
      </c>
      <c r="D276" s="1">
        <v>47194</v>
      </c>
      <c r="E276" s="1" t="s">
        <v>592</v>
      </c>
      <c r="F276" s="1">
        <v>46099</v>
      </c>
    </row>
    <row r="277" spans="1:6" x14ac:dyDescent="0.2">
      <c r="A277" t="s">
        <v>158</v>
      </c>
      <c r="B277" t="s">
        <v>9</v>
      </c>
      <c r="C277" t="s">
        <v>159</v>
      </c>
      <c r="D277" s="1">
        <v>45751</v>
      </c>
      <c r="E277" s="1" t="s">
        <v>578</v>
      </c>
      <c r="F277" s="1">
        <v>44442</v>
      </c>
    </row>
    <row r="278" spans="1:6" x14ac:dyDescent="0.2">
      <c r="A278" t="s">
        <v>240</v>
      </c>
      <c r="B278" t="s">
        <v>241</v>
      </c>
      <c r="C278" t="s">
        <v>242</v>
      </c>
      <c r="D278" s="1">
        <v>45904</v>
      </c>
      <c r="E278" s="1" t="s">
        <v>579</v>
      </c>
      <c r="F278" s="1">
        <v>43052</v>
      </c>
    </row>
    <row r="279" spans="1:6" x14ac:dyDescent="0.2">
      <c r="A279" t="s">
        <v>129</v>
      </c>
      <c r="B279" t="s">
        <v>130</v>
      </c>
      <c r="C279" t="s">
        <v>131</v>
      </c>
      <c r="D279" t="s">
        <v>132</v>
      </c>
      <c r="E279" s="1" t="s">
        <v>183</v>
      </c>
      <c r="F279" s="1">
        <v>45330</v>
      </c>
    </row>
  </sheetData>
  <mergeCells count="3">
    <mergeCell ref="A2:F2"/>
    <mergeCell ref="H2:I2"/>
    <mergeCell ref="K2:L2"/>
  </mergeCells>
  <conditionalFormatting sqref="D4:D279">
    <cfRule type="expression" dxfId="18" priority="1" stopIfTrue="1">
      <formula>IFERROR(YEAR(D4)=2026,FALSE)</formula>
    </cfRule>
    <cfRule type="expression" dxfId="17" priority="2" stopIfTrue="1">
      <formula>IFERROR(YEAR(D4)=2027,FALSE)</formula>
    </cfRule>
    <cfRule type="expression" dxfId="16" priority="3" stopIfTrue="1">
      <formula>IFERROR(YEAR(D4)&gt;=2028,FALSE)</formula>
    </cfRule>
    <cfRule type="expression" dxfId="15" priority="4" stopIfTrue="1">
      <formula>IFERROR(YEAR(D4)&lt;2026,FALSE)</formula>
    </cfRule>
    <cfRule type="expression" dxfId="14" priority="5" stopIfTrue="1">
      <formula>ISERROR(YEAR(D4))</formula>
    </cfRule>
  </conditionalFormatting>
  <conditionalFormatting sqref="E4:E279">
    <cfRule type="expression" dxfId="13" priority="6" stopIfTrue="1">
      <formula>IFERROR(VALUE(RIGHT(E4,4))=2026,FALSE)</formula>
    </cfRule>
    <cfRule type="expression" dxfId="12" priority="7" stopIfTrue="1">
      <formula>IFERROR(VALUE(RIGHT(E4,4))=2027,FALSE)</formula>
    </cfRule>
    <cfRule type="expression" dxfId="11" priority="8" stopIfTrue="1">
      <formula>IFERROR(VALUE(RIGHT(E4,4))&gt;=2028,FALSE)</formula>
    </cfRule>
    <cfRule type="expression" dxfId="10" priority="9" stopIfTrue="1">
      <formula>IFERROR(VALUE(RIGHT(E4,4))&lt;2026,FALSE)</formula>
    </cfRule>
    <cfRule type="expression" dxfId="9" priority="10" stopIfTrue="1">
      <formula>ISERROR(VALUE(RIGHT(E4,4)))</formula>
    </cfRule>
  </conditionalFormatting>
  <conditionalFormatting sqref="K4:L18">
    <cfRule type="expression" dxfId="8" priority="11" stopIfTrue="1">
      <formula>IFERROR(VALUE(RIGHT($K4,4))=2026,FALSE)</formula>
    </cfRule>
  </conditionalFormatting>
  <conditionalFormatting sqref="K4:L18">
    <cfRule type="expression" dxfId="7" priority="12" stopIfTrue="1">
      <formula>IFERROR(VALUE(RIGHT($K4,4))=2027,FALSE)</formula>
    </cfRule>
  </conditionalFormatting>
  <conditionalFormatting sqref="K4:L18">
    <cfRule type="expression" dxfId="6" priority="13" stopIfTrue="1">
      <formula>IFERROR(VALUE(RIGHT($K4,4))&gt;=2028,FALSE)</formula>
    </cfRule>
  </conditionalFormatting>
  <conditionalFormatting sqref="K4:L18">
    <cfRule type="expression" dxfId="5" priority="14" stopIfTrue="1">
      <formula>IFERROR(VALUE(RIGHT($K4,4))&lt;2026,FALSE)</formula>
    </cfRule>
  </conditionalFormatting>
  <conditionalFormatting sqref="K4:L18">
    <cfRule type="expression" dxfId="4" priority="15" stopIfTrue="1">
      <formula>ISERROR(VALUE(RIGHT($K4,4)))</formula>
    </cfRule>
  </conditionalFormatting>
  <pageMargins left="0.7" right="0.7" top="0.75" bottom="0.75" header="0.3" footer="0.3"/>
  <pageSetup orientation="portrait" horizontalDpi="0" verticalDpi="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Clark</cp:lastModifiedBy>
  <dcterms:created xsi:type="dcterms:W3CDTF">2026-04-02T17:16:54Z</dcterms:created>
  <dcterms:modified xsi:type="dcterms:W3CDTF">2026-04-02T17:16:54Z</dcterms:modified>
</cp:coreProperties>
</file>